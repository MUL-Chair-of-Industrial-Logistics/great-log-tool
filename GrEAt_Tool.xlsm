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DieseArbeitsmappe"/>
  <mc:AlternateContent xmlns:mc="http://schemas.openxmlformats.org/markup-compatibility/2006">
    <mc:Choice Requires="x15">
      <x15ac:absPath xmlns:x15ac="http://schemas.microsoft.com/office/spreadsheetml/2010/11/ac" url="https://unileobenacat-my.sharepoint.com/personal/philipp_miklautsch_unileoben_ac_at/Documents/Forschung/11_Papers DSS Green Logistics/80_SMI/Submission/"/>
    </mc:Choice>
  </mc:AlternateContent>
  <xr:revisionPtr revIDLastSave="63382" documentId="8_{942098A2-5A41-4322-87FA-59CEF0A5A3FB}" xr6:coauthVersionLast="47" xr6:coauthVersionMax="47" xr10:uidLastSave="{5216A278-01D2-4AC0-BF8D-E8EA3B591DCB}"/>
  <bookViews>
    <workbookView xWindow="-96" yWindow="-96" windowWidth="23232" windowHeight="12432" xr2:uid="{00000000-000D-0000-FFFF-FFFF00000000}"/>
  </bookViews>
  <sheets>
    <sheet name="0_Uebersicht" sheetId="1" r:id="rId1"/>
    <sheet name="1_Gewichtung_SMART" sheetId="2" r:id="rId2"/>
    <sheet name="2_Massnahmen" sheetId="4" r:id="rId3"/>
    <sheet name="3_Evaluierung" sheetId="3" r:id="rId4"/>
    <sheet name="99_Preference Index" sheetId="7" r:id="rId5"/>
    <sheet name="99_Metadaten_Konfig" sheetId="5" r:id="rId6"/>
  </sheets>
  <definedNames>
    <definedName name="_xlcn.Gewichtung_Smart1" hidden="1">Gewichtung_Smart[]</definedName>
    <definedName name="_xlcn.Massnahmen1" hidden="1">Massnahmen[]</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ssnahmen" name="Massnahmen" connection="Massnahmen"/>
          <x15:modelTable id="Gewichtung_Smart" name="Gewichtung_Smart" connection="Gewichtung_Smar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7" l="1" a="1"/>
  <c r="K2" i="7" s="1"/>
  <c r="J3" i="7" a="1"/>
  <c r="J3" i="7" s="1"/>
  <c r="C156" i="7" a="1"/>
  <c r="C156" i="7" s="1"/>
  <c r="B157" i="7" a="1"/>
  <c r="C155" i="7" a="1"/>
  <c r="C155" i="7" s="1"/>
  <c r="A164" i="7" a="1"/>
  <c r="A164" i="7" s="1"/>
  <c r="A157" i="7" a="1"/>
  <c r="A157" i="7" s="1"/>
  <c r="C139" i="7" a="1"/>
  <c r="C139" i="7" s="1"/>
  <c r="B140" i="7" a="1"/>
  <c r="C138" i="7" a="1"/>
  <c r="C138" i="7" s="1"/>
  <c r="A147" i="7" a="1"/>
  <c r="A147" i="7" s="1"/>
  <c r="A140" i="7" a="1"/>
  <c r="A140" i="7" s="1"/>
  <c r="C122" i="7" a="1"/>
  <c r="C122" i="7" s="1"/>
  <c r="B123" i="7" a="1"/>
  <c r="C121" i="7" a="1"/>
  <c r="C121" i="7" s="1"/>
  <c r="A130" i="7" a="1"/>
  <c r="A130" i="7" s="1"/>
  <c r="A123" i="7" a="1"/>
  <c r="A123" i="7" s="1"/>
  <c r="C105" i="7" a="1"/>
  <c r="C105" i="7" s="1"/>
  <c r="B106" i="7" a="1"/>
  <c r="C104" i="7" a="1"/>
  <c r="C104" i="7" s="1"/>
  <c r="A113" i="7" a="1"/>
  <c r="A113" i="7" s="1"/>
  <c r="A106" i="7" a="1"/>
  <c r="A106" i="7" s="1"/>
  <c r="C88" i="7" a="1"/>
  <c r="C88" i="7" s="1"/>
  <c r="B89" i="7" a="1"/>
  <c r="C87" i="7" a="1"/>
  <c r="C87" i="7" s="1"/>
  <c r="A96" i="7" a="1"/>
  <c r="A96" i="7" s="1"/>
  <c r="A89" i="7" a="1"/>
  <c r="A89" i="7" s="1"/>
  <c r="C71" i="7" a="1"/>
  <c r="C71" i="7" s="1"/>
  <c r="B72" i="7" a="1"/>
  <c r="C70" i="7" a="1"/>
  <c r="C70" i="7" s="1"/>
  <c r="A79" i="7" a="1"/>
  <c r="A79" i="7" s="1"/>
  <c r="A72" i="7" a="1"/>
  <c r="A72" i="7" s="1"/>
  <c r="C54" i="7" a="1"/>
  <c r="C54" i="7" s="1"/>
  <c r="B55" i="7" a="1"/>
  <c r="E60" i="7" s="1"/>
  <c r="E67" i="7" s="1"/>
  <c r="C53" i="7" a="1"/>
  <c r="C53" i="7" s="1"/>
  <c r="A62" i="7" a="1"/>
  <c r="A62" i="7" s="1"/>
  <c r="A55" i="7" a="1"/>
  <c r="A55" i="7" s="1"/>
  <c r="C37" i="7" a="1"/>
  <c r="C37" i="7" s="1"/>
  <c r="B38" i="7" a="1"/>
  <c r="B38" i="7" s="1"/>
  <c r="C36" i="7" a="1"/>
  <c r="C36" i="7" s="1"/>
  <c r="A45" i="7" a="1"/>
  <c r="A45" i="7" s="1"/>
  <c r="A38" i="7" a="1"/>
  <c r="A38" i="7" s="1"/>
  <c r="C20" i="7" a="1"/>
  <c r="C20" i="7" s="1"/>
  <c r="B21" i="7" a="1"/>
  <c r="B21" i="7" s="1"/>
  <c r="D21" i="7" s="1"/>
  <c r="D28" i="7" s="1"/>
  <c r="C19" i="7" a="1"/>
  <c r="C19" i="7" s="1"/>
  <c r="A28" i="7" a="1"/>
  <c r="A28" i="7" s="1"/>
  <c r="A21" i="7" a="1"/>
  <c r="A21" i="7" s="1"/>
  <c r="C3" i="7" a="1"/>
  <c r="C3" i="7" s="1"/>
  <c r="B4" i="7" a="1"/>
  <c r="B4" i="7" s="1"/>
  <c r="C2" i="7" a="1"/>
  <c r="C2" i="7" s="1"/>
  <c r="A11" i="7" a="1"/>
  <c r="A11" i="7" s="1"/>
  <c r="A4" i="7" a="1"/>
  <c r="A4" i="7" s="1"/>
  <c r="M20" i="3"/>
  <c r="M21" i="3"/>
  <c r="M22" i="3"/>
  <c r="M23" i="3"/>
  <c r="M24" i="3"/>
  <c r="M19" i="3"/>
  <c r="D142" i="7" l="1"/>
  <c r="D149" i="7" s="1"/>
  <c r="E38" i="7"/>
  <c r="E45" i="7" s="1"/>
  <c r="C159" i="7"/>
  <c r="C166" i="7" s="1"/>
  <c r="E111" i="7"/>
  <c r="E118" i="7" s="1"/>
  <c r="F160" i="7"/>
  <c r="F167" i="7" s="1"/>
  <c r="E162" i="7"/>
  <c r="E169" i="7" s="1"/>
  <c r="E145" i="7"/>
  <c r="E152" i="7" s="1"/>
  <c r="F126" i="7"/>
  <c r="F133" i="7" s="1"/>
  <c r="E128" i="7"/>
  <c r="E135" i="7" s="1"/>
  <c r="C125" i="7"/>
  <c r="C132" i="7" s="1"/>
  <c r="D108" i="7"/>
  <c r="D115" i="7" s="1"/>
  <c r="G94" i="7"/>
  <c r="G101" i="7" s="1"/>
  <c r="F90" i="7"/>
  <c r="F97" i="7" s="1"/>
  <c r="D93" i="7"/>
  <c r="D100" i="7" s="1"/>
  <c r="F91" i="7"/>
  <c r="F98" i="7" s="1"/>
  <c r="H93" i="7"/>
  <c r="H100" i="7" s="1"/>
  <c r="E92" i="7"/>
  <c r="E99" i="7" s="1"/>
  <c r="F94" i="7"/>
  <c r="F101" i="7" s="1"/>
  <c r="H92" i="7"/>
  <c r="H99" i="7" s="1"/>
  <c r="C56" i="7"/>
  <c r="C63" i="7" s="1"/>
  <c r="D58" i="7"/>
  <c r="D65" i="7" s="1"/>
  <c r="G59" i="7"/>
  <c r="G66" i="7" s="1"/>
  <c r="E56" i="7"/>
  <c r="E63" i="7" s="1"/>
  <c r="E57" i="7"/>
  <c r="E64" i="7" s="1"/>
  <c r="G58" i="7"/>
  <c r="G65" i="7" s="1"/>
  <c r="F56" i="7"/>
  <c r="F63" i="7" s="1"/>
  <c r="G57" i="7"/>
  <c r="G64" i="7" s="1"/>
  <c r="C59" i="7"/>
  <c r="C66" i="7" s="1"/>
  <c r="D60" i="7"/>
  <c r="D67" i="7" s="1"/>
  <c r="H56" i="7"/>
  <c r="H63" i="7" s="1"/>
  <c r="H57" i="7"/>
  <c r="H64" i="7" s="1"/>
  <c r="D59" i="7"/>
  <c r="D66" i="7" s="1"/>
  <c r="H38" i="7"/>
  <c r="H45" i="7" s="1"/>
  <c r="H39" i="7"/>
  <c r="H46" i="7" s="1"/>
  <c r="D41" i="7"/>
  <c r="D48" i="7" s="1"/>
  <c r="E43" i="7"/>
  <c r="E50" i="7" s="1"/>
  <c r="C39" i="7"/>
  <c r="C46" i="7" s="1"/>
  <c r="D40" i="7"/>
  <c r="D47" i="7" s="1"/>
  <c r="F41" i="7"/>
  <c r="F48" i="7" s="1"/>
  <c r="F42" i="7"/>
  <c r="F49" i="7" s="1"/>
  <c r="H43" i="7"/>
  <c r="H50" i="7" s="1"/>
  <c r="C38" i="7"/>
  <c r="C45" i="7" s="1"/>
  <c r="E39" i="7"/>
  <c r="E46" i="7" s="1"/>
  <c r="E40" i="7"/>
  <c r="E47" i="7" s="1"/>
  <c r="G41" i="7"/>
  <c r="G48" i="7" s="1"/>
  <c r="H42" i="7"/>
  <c r="H49" i="7" s="1"/>
  <c r="F38" i="7"/>
  <c r="F45" i="7" s="1"/>
  <c r="G40" i="7"/>
  <c r="G47" i="7" s="1"/>
  <c r="C42" i="7"/>
  <c r="C49" i="7" s="1"/>
  <c r="C43" i="7"/>
  <c r="C50" i="7" s="1"/>
  <c r="F21" i="7"/>
  <c r="F28" i="7" s="1"/>
  <c r="H22" i="7"/>
  <c r="H29" i="7" s="1"/>
  <c r="H23" i="7"/>
  <c r="H30" i="7" s="1"/>
  <c r="D25" i="7"/>
  <c r="D32" i="7" s="1"/>
  <c r="F22" i="7"/>
  <c r="F29" i="7" s="1"/>
  <c r="G23" i="7"/>
  <c r="G30" i="7" s="1"/>
  <c r="C25" i="7"/>
  <c r="C32" i="7" s="1"/>
  <c r="C26" i="7"/>
  <c r="C33" i="7" s="1"/>
  <c r="H21" i="7"/>
  <c r="H28" i="7" s="1"/>
  <c r="E26" i="7"/>
  <c r="E33" i="7" s="1"/>
  <c r="C22" i="7"/>
  <c r="C29" i="7" s="1"/>
  <c r="D24" i="7"/>
  <c r="D31" i="7" s="1"/>
  <c r="F25" i="7"/>
  <c r="F32" i="7" s="1"/>
  <c r="F26" i="7"/>
  <c r="F33" i="7" s="1"/>
  <c r="C21" i="7"/>
  <c r="C28" i="7" s="1"/>
  <c r="E22" i="7"/>
  <c r="E29" i="7" s="1"/>
  <c r="E23" i="7"/>
  <c r="E30" i="7" s="1"/>
  <c r="G24" i="7"/>
  <c r="G31" i="7" s="1"/>
  <c r="H26" i="7"/>
  <c r="H33" i="7" s="1"/>
  <c r="E4" i="7"/>
  <c r="E11" i="7" s="1"/>
  <c r="C5" i="7"/>
  <c r="C12" i="7" s="1"/>
  <c r="D6" i="7"/>
  <c r="D13" i="7" s="1"/>
  <c r="F7" i="7"/>
  <c r="F14" i="7" s="1"/>
  <c r="F8" i="7"/>
  <c r="F15" i="7" s="1"/>
  <c r="H9" i="7"/>
  <c r="H16" i="7" s="1"/>
  <c r="C4" i="7"/>
  <c r="C11" i="7" s="1"/>
  <c r="E5" i="7"/>
  <c r="E12" i="7" s="1"/>
  <c r="E6" i="7"/>
  <c r="E13" i="7" s="1"/>
  <c r="G7" i="7"/>
  <c r="G14" i="7" s="1"/>
  <c r="H8" i="7"/>
  <c r="H15" i="7" s="1"/>
  <c r="F4" i="7"/>
  <c r="F11" i="7" s="1"/>
  <c r="G6" i="7"/>
  <c r="G13" i="7" s="1"/>
  <c r="C8" i="7"/>
  <c r="C15" i="7" s="1"/>
  <c r="C9" i="7"/>
  <c r="C16" i="7" s="1"/>
  <c r="H4" i="7"/>
  <c r="H11" i="7" s="1"/>
  <c r="H5" i="7"/>
  <c r="H12" i="7" s="1"/>
  <c r="D7" i="7"/>
  <c r="D14" i="7" s="1"/>
  <c r="E9" i="7"/>
  <c r="E16" i="7" s="1"/>
  <c r="B72" i="7"/>
  <c r="F77" i="7"/>
  <c r="F84" i="7" s="1"/>
  <c r="C77" i="7"/>
  <c r="C84" i="7" s="1"/>
  <c r="D76" i="7"/>
  <c r="D83" i="7" s="1"/>
  <c r="G75" i="7"/>
  <c r="G82" i="7" s="1"/>
  <c r="H74" i="7"/>
  <c r="H81" i="7" s="1"/>
  <c r="E74" i="7"/>
  <c r="E81" i="7" s="1"/>
  <c r="F73" i="7"/>
  <c r="F80" i="7" s="1"/>
  <c r="C73" i="7"/>
  <c r="C80" i="7" s="1"/>
  <c r="E77" i="7"/>
  <c r="E84" i="7" s="1"/>
  <c r="H76" i="7"/>
  <c r="H83" i="7" s="1"/>
  <c r="C75" i="7"/>
  <c r="C82" i="7" s="1"/>
  <c r="F74" i="7"/>
  <c r="F81" i="7" s="1"/>
  <c r="H73" i="7"/>
  <c r="H80" i="7" s="1"/>
  <c r="G76" i="7"/>
  <c r="G83" i="7" s="1"/>
  <c r="C76" i="7"/>
  <c r="C83" i="7" s="1"/>
  <c r="F75" i="7"/>
  <c r="F82" i="7" s="1"/>
  <c r="G73" i="7"/>
  <c r="G80" i="7" s="1"/>
  <c r="D73" i="7"/>
  <c r="D80" i="7" s="1"/>
  <c r="C74" i="7"/>
  <c r="C81" i="7" s="1"/>
  <c r="D75" i="7"/>
  <c r="D82" i="7" s="1"/>
  <c r="E76" i="7"/>
  <c r="E83" i="7" s="1"/>
  <c r="G77" i="7"/>
  <c r="G84" i="7" s="1"/>
  <c r="D74" i="7"/>
  <c r="D81" i="7" s="1"/>
  <c r="E75" i="7"/>
  <c r="E82" i="7" s="1"/>
  <c r="F76" i="7"/>
  <c r="F83" i="7" s="1"/>
  <c r="H77" i="7"/>
  <c r="H84" i="7" s="1"/>
  <c r="E73" i="7"/>
  <c r="E80" i="7" s="1"/>
  <c r="H75" i="7"/>
  <c r="H82" i="7" s="1"/>
  <c r="G74" i="7"/>
  <c r="G81" i="7" s="1"/>
  <c r="D77" i="7"/>
  <c r="D84" i="7" s="1"/>
  <c r="D4" i="7"/>
  <c r="D11" i="7" s="1"/>
  <c r="G4" i="7"/>
  <c r="G11" i="7" s="1"/>
  <c r="F5" i="7"/>
  <c r="F12" i="7" s="1"/>
  <c r="C6" i="7"/>
  <c r="C13" i="7" s="1"/>
  <c r="H6" i="7"/>
  <c r="H13" i="7" s="1"/>
  <c r="E7" i="7"/>
  <c r="E14" i="7" s="1"/>
  <c r="D8" i="7"/>
  <c r="D15" i="7" s="1"/>
  <c r="G8" i="7"/>
  <c r="G15" i="7" s="1"/>
  <c r="F9" i="7"/>
  <c r="F16" i="7" s="1"/>
  <c r="G21" i="7"/>
  <c r="G28" i="7" s="1"/>
  <c r="D22" i="7"/>
  <c r="D29" i="7" s="1"/>
  <c r="C23" i="7"/>
  <c r="C30" i="7" s="1"/>
  <c r="F23" i="7"/>
  <c r="F30" i="7" s="1"/>
  <c r="E24" i="7"/>
  <c r="E31" i="7" s="1"/>
  <c r="H24" i="7"/>
  <c r="H31" i="7" s="1"/>
  <c r="G25" i="7"/>
  <c r="G32" i="7" s="1"/>
  <c r="D26" i="7"/>
  <c r="D33" i="7" s="1"/>
  <c r="D38" i="7"/>
  <c r="D45" i="7" s="1"/>
  <c r="G38" i="7"/>
  <c r="G45" i="7" s="1"/>
  <c r="F39" i="7"/>
  <c r="F46" i="7" s="1"/>
  <c r="C40" i="7"/>
  <c r="C47" i="7" s="1"/>
  <c r="H40" i="7"/>
  <c r="H47" i="7" s="1"/>
  <c r="E41" i="7"/>
  <c r="E48" i="7" s="1"/>
  <c r="D42" i="7"/>
  <c r="D49" i="7" s="1"/>
  <c r="G42" i="7"/>
  <c r="G49" i="7" s="1"/>
  <c r="F43" i="7"/>
  <c r="F50" i="7" s="1"/>
  <c r="B55" i="7"/>
  <c r="H60" i="7"/>
  <c r="H67" i="7" s="1"/>
  <c r="C60" i="7"/>
  <c r="C67" i="7" s="1"/>
  <c r="F59" i="7"/>
  <c r="F66" i="7" s="1"/>
  <c r="D56" i="7"/>
  <c r="D63" i="7" s="1"/>
  <c r="C57" i="7"/>
  <c r="C64" i="7" s="1"/>
  <c r="F57" i="7"/>
  <c r="F64" i="7" s="1"/>
  <c r="E58" i="7"/>
  <c r="E65" i="7" s="1"/>
  <c r="H58" i="7"/>
  <c r="H65" i="7" s="1"/>
  <c r="E59" i="7"/>
  <c r="E66" i="7" s="1"/>
  <c r="H59" i="7"/>
  <c r="H66" i="7" s="1"/>
  <c r="F60" i="7"/>
  <c r="F67" i="7" s="1"/>
  <c r="B89" i="7"/>
  <c r="H94" i="7"/>
  <c r="H101" i="7" s="1"/>
  <c r="C94" i="7"/>
  <c r="C101" i="7" s="1"/>
  <c r="F93" i="7"/>
  <c r="F100" i="7" s="1"/>
  <c r="G92" i="7"/>
  <c r="G99" i="7" s="1"/>
  <c r="D92" i="7"/>
  <c r="D99" i="7" s="1"/>
  <c r="E91" i="7"/>
  <c r="E98" i="7" s="1"/>
  <c r="H90" i="7"/>
  <c r="H97" i="7" s="1"/>
  <c r="C90" i="7"/>
  <c r="C97" i="7" s="1"/>
  <c r="D94" i="7"/>
  <c r="D101" i="7" s="1"/>
  <c r="G93" i="7"/>
  <c r="G100" i="7" s="1"/>
  <c r="C93" i="7"/>
  <c r="C100" i="7" s="1"/>
  <c r="H91" i="7"/>
  <c r="H98" i="7" s="1"/>
  <c r="D91" i="7"/>
  <c r="D98" i="7" s="1"/>
  <c r="G90" i="7"/>
  <c r="G97" i="7" s="1"/>
  <c r="D90" i="7"/>
  <c r="D97" i="7" s="1"/>
  <c r="C91" i="7"/>
  <c r="C98" i="7" s="1"/>
  <c r="G91" i="7"/>
  <c r="G98" i="7" s="1"/>
  <c r="F92" i="7"/>
  <c r="F99" i="7" s="1"/>
  <c r="E93" i="7"/>
  <c r="E100" i="7" s="1"/>
  <c r="B106" i="7"/>
  <c r="F111" i="7"/>
  <c r="F118" i="7" s="1"/>
  <c r="C111" i="7"/>
  <c r="C118" i="7" s="1"/>
  <c r="D110" i="7"/>
  <c r="D117" i="7" s="1"/>
  <c r="G109" i="7"/>
  <c r="G116" i="7" s="1"/>
  <c r="H108" i="7"/>
  <c r="H115" i="7" s="1"/>
  <c r="E108" i="7"/>
  <c r="E115" i="7" s="1"/>
  <c r="F107" i="7"/>
  <c r="F114" i="7" s="1"/>
  <c r="C107" i="7"/>
  <c r="C114" i="7" s="1"/>
  <c r="E110" i="7"/>
  <c r="E117" i="7" s="1"/>
  <c r="H109" i="7"/>
  <c r="H116" i="7" s="1"/>
  <c r="D109" i="7"/>
  <c r="D116" i="7" s="1"/>
  <c r="C108" i="7"/>
  <c r="C115" i="7" s="1"/>
  <c r="E107" i="7"/>
  <c r="E114" i="7" s="1"/>
  <c r="H111" i="7"/>
  <c r="H118" i="7" s="1"/>
  <c r="D111" i="7"/>
  <c r="D118" i="7" s="1"/>
  <c r="F109" i="7"/>
  <c r="F116" i="7" s="1"/>
  <c r="G108" i="7"/>
  <c r="G115" i="7" s="1"/>
  <c r="H107" i="7"/>
  <c r="H114" i="7" s="1"/>
  <c r="D107" i="7"/>
  <c r="D114" i="7" s="1"/>
  <c r="G111" i="7"/>
  <c r="G118" i="7" s="1"/>
  <c r="H110" i="7"/>
  <c r="H117" i="7" s="1"/>
  <c r="C110" i="7"/>
  <c r="C117" i="7" s="1"/>
  <c r="E109" i="7"/>
  <c r="E116" i="7" s="1"/>
  <c r="F108" i="7"/>
  <c r="F115" i="7" s="1"/>
  <c r="G107" i="7"/>
  <c r="G114" i="7" s="1"/>
  <c r="F110" i="7"/>
  <c r="F117" i="7" s="1"/>
  <c r="B123" i="7"/>
  <c r="H128" i="7"/>
  <c r="H135" i="7" s="1"/>
  <c r="C128" i="7"/>
  <c r="C135" i="7" s="1"/>
  <c r="F127" i="7"/>
  <c r="F134" i="7" s="1"/>
  <c r="G126" i="7"/>
  <c r="G133" i="7" s="1"/>
  <c r="D126" i="7"/>
  <c r="D133" i="7" s="1"/>
  <c r="E125" i="7"/>
  <c r="E132" i="7" s="1"/>
  <c r="H124" i="7"/>
  <c r="H131" i="7" s="1"/>
  <c r="C124" i="7"/>
  <c r="C131" i="7" s="1"/>
  <c r="D128" i="7"/>
  <c r="D135" i="7" s="1"/>
  <c r="G127" i="7"/>
  <c r="G134" i="7" s="1"/>
  <c r="C127" i="7"/>
  <c r="C134" i="7" s="1"/>
  <c r="H125" i="7"/>
  <c r="H132" i="7" s="1"/>
  <c r="D125" i="7"/>
  <c r="D132" i="7" s="1"/>
  <c r="G124" i="7"/>
  <c r="G131" i="7" s="1"/>
  <c r="G128" i="7"/>
  <c r="G135" i="7" s="1"/>
  <c r="H127" i="7"/>
  <c r="H134" i="7" s="1"/>
  <c r="D127" i="7"/>
  <c r="D134" i="7" s="1"/>
  <c r="E126" i="7"/>
  <c r="E133" i="7" s="1"/>
  <c r="F125" i="7"/>
  <c r="F132" i="7" s="1"/>
  <c r="F128" i="7"/>
  <c r="F135" i="7" s="1"/>
  <c r="H126" i="7"/>
  <c r="H133" i="7" s="1"/>
  <c r="F124" i="7"/>
  <c r="F131" i="7" s="1"/>
  <c r="D124" i="7"/>
  <c r="D131" i="7" s="1"/>
  <c r="G125" i="7"/>
  <c r="G132" i="7" s="1"/>
  <c r="E127" i="7"/>
  <c r="E134" i="7" s="1"/>
  <c r="B140" i="7"/>
  <c r="F145" i="7"/>
  <c r="F152" i="7" s="1"/>
  <c r="C145" i="7"/>
  <c r="C152" i="7" s="1"/>
  <c r="D144" i="7"/>
  <c r="D151" i="7" s="1"/>
  <c r="G143" i="7"/>
  <c r="G150" i="7" s="1"/>
  <c r="H142" i="7"/>
  <c r="H149" i="7" s="1"/>
  <c r="E142" i="7"/>
  <c r="E149" i="7" s="1"/>
  <c r="F141" i="7"/>
  <c r="F148" i="7" s="1"/>
  <c r="C141" i="7"/>
  <c r="C148" i="7" s="1"/>
  <c r="E144" i="7"/>
  <c r="E151" i="7" s="1"/>
  <c r="H143" i="7"/>
  <c r="H150" i="7" s="1"/>
  <c r="D143" i="7"/>
  <c r="D150" i="7" s="1"/>
  <c r="C142" i="7"/>
  <c r="C149" i="7" s="1"/>
  <c r="E141" i="7"/>
  <c r="E148" i="7" s="1"/>
  <c r="H145" i="7"/>
  <c r="H152" i="7" s="1"/>
  <c r="D145" i="7"/>
  <c r="D152" i="7" s="1"/>
  <c r="F143" i="7"/>
  <c r="F150" i="7" s="1"/>
  <c r="G142" i="7"/>
  <c r="G149" i="7" s="1"/>
  <c r="H141" i="7"/>
  <c r="H148" i="7" s="1"/>
  <c r="D141" i="7"/>
  <c r="D148" i="7" s="1"/>
  <c r="G145" i="7"/>
  <c r="G152" i="7" s="1"/>
  <c r="H144" i="7"/>
  <c r="H151" i="7" s="1"/>
  <c r="C144" i="7"/>
  <c r="C151" i="7" s="1"/>
  <c r="E143" i="7"/>
  <c r="E150" i="7" s="1"/>
  <c r="F142" i="7"/>
  <c r="F149" i="7" s="1"/>
  <c r="G141" i="7"/>
  <c r="G148" i="7" s="1"/>
  <c r="F144" i="7"/>
  <c r="F151" i="7" s="1"/>
  <c r="B157" i="7"/>
  <c r="H162" i="7"/>
  <c r="H169" i="7" s="1"/>
  <c r="C162" i="7"/>
  <c r="C169" i="7" s="1"/>
  <c r="F161" i="7"/>
  <c r="F168" i="7" s="1"/>
  <c r="G160" i="7"/>
  <c r="G167" i="7" s="1"/>
  <c r="D160" i="7"/>
  <c r="D167" i="7" s="1"/>
  <c r="E159" i="7"/>
  <c r="E166" i="7" s="1"/>
  <c r="H158" i="7"/>
  <c r="H165" i="7" s="1"/>
  <c r="C158" i="7"/>
  <c r="C165" i="7" s="1"/>
  <c r="D162" i="7"/>
  <c r="D169" i="7" s="1"/>
  <c r="G161" i="7"/>
  <c r="G168" i="7" s="1"/>
  <c r="C161" i="7"/>
  <c r="C168" i="7" s="1"/>
  <c r="H159" i="7"/>
  <c r="H166" i="7" s="1"/>
  <c r="D159" i="7"/>
  <c r="D166" i="7" s="1"/>
  <c r="G158" i="7"/>
  <c r="G165" i="7" s="1"/>
  <c r="G162" i="7"/>
  <c r="G169" i="7" s="1"/>
  <c r="H161" i="7"/>
  <c r="H168" i="7" s="1"/>
  <c r="D161" i="7"/>
  <c r="D168" i="7" s="1"/>
  <c r="E160" i="7"/>
  <c r="E167" i="7" s="1"/>
  <c r="F159" i="7"/>
  <c r="F166" i="7" s="1"/>
  <c r="F162" i="7"/>
  <c r="F169" i="7" s="1"/>
  <c r="H160" i="7"/>
  <c r="H167" i="7" s="1"/>
  <c r="F158" i="7"/>
  <c r="F165" i="7" s="1"/>
  <c r="D158" i="7"/>
  <c r="D165" i="7" s="1"/>
  <c r="G159" i="7"/>
  <c r="G166" i="7" s="1"/>
  <c r="E161" i="7"/>
  <c r="E168" i="7" s="1"/>
  <c r="D5" i="7"/>
  <c r="D12" i="7" s="1"/>
  <c r="G5" i="7"/>
  <c r="G12" i="7" s="1"/>
  <c r="F6" i="7"/>
  <c r="F13" i="7" s="1"/>
  <c r="C7" i="7"/>
  <c r="C14" i="7" s="1"/>
  <c r="H7" i="7"/>
  <c r="H14" i="7" s="1"/>
  <c r="E8" i="7"/>
  <c r="E15" i="7" s="1"/>
  <c r="D9" i="7"/>
  <c r="D16" i="7" s="1"/>
  <c r="G9" i="7"/>
  <c r="G16" i="7" s="1"/>
  <c r="E21" i="7"/>
  <c r="E28" i="7" s="1"/>
  <c r="G22" i="7"/>
  <c r="G29" i="7" s="1"/>
  <c r="D23" i="7"/>
  <c r="D30" i="7" s="1"/>
  <c r="C24" i="7"/>
  <c r="C31" i="7" s="1"/>
  <c r="F24" i="7"/>
  <c r="F31" i="7" s="1"/>
  <c r="E25" i="7"/>
  <c r="E32" i="7" s="1"/>
  <c r="H25" i="7"/>
  <c r="H32" i="7" s="1"/>
  <c r="G26" i="7"/>
  <c r="G33" i="7" s="1"/>
  <c r="D39" i="7"/>
  <c r="D46" i="7" s="1"/>
  <c r="G39" i="7"/>
  <c r="G46" i="7" s="1"/>
  <c r="F40" i="7"/>
  <c r="F47" i="7" s="1"/>
  <c r="C41" i="7"/>
  <c r="C48" i="7" s="1"/>
  <c r="H41" i="7"/>
  <c r="H48" i="7" s="1"/>
  <c r="E42" i="7"/>
  <c r="E49" i="7" s="1"/>
  <c r="D43" i="7"/>
  <c r="D50" i="7" s="1"/>
  <c r="G43" i="7"/>
  <c r="G50" i="7" s="1"/>
  <c r="G56" i="7"/>
  <c r="G63" i="7" s="1"/>
  <c r="D57" i="7"/>
  <c r="D64" i="7" s="1"/>
  <c r="C58" i="7"/>
  <c r="C65" i="7" s="1"/>
  <c r="F58" i="7"/>
  <c r="F65" i="7" s="1"/>
  <c r="G60" i="7"/>
  <c r="G67" i="7" s="1"/>
  <c r="E90" i="7"/>
  <c r="E97" i="7" s="1"/>
  <c r="C92" i="7"/>
  <c r="C99" i="7" s="1"/>
  <c r="E94" i="7"/>
  <c r="E101" i="7" s="1"/>
  <c r="C109" i="7"/>
  <c r="C116" i="7" s="1"/>
  <c r="G110" i="7"/>
  <c r="G117" i="7" s="1"/>
  <c r="E124" i="7"/>
  <c r="E131" i="7" s="1"/>
  <c r="C126" i="7"/>
  <c r="C133" i="7" s="1"/>
  <c r="C143" i="7"/>
  <c r="C150" i="7" s="1"/>
  <c r="G144" i="7"/>
  <c r="G151" i="7" s="1"/>
  <c r="E158" i="7"/>
  <c r="E165" i="7" s="1"/>
  <c r="C160" i="7"/>
  <c r="C167" i="7" s="1"/>
  <c r="F157" i="7" l="1"/>
  <c r="F164" i="7" s="1"/>
  <c r="H157" i="7"/>
  <c r="H164" i="7" s="1"/>
  <c r="D157" i="7"/>
  <c r="D164" i="7" s="1"/>
  <c r="C157" i="7"/>
  <c r="C164" i="7" s="1"/>
  <c r="G157" i="7"/>
  <c r="G164" i="7" s="1"/>
  <c r="E157" i="7"/>
  <c r="E164" i="7" s="1"/>
  <c r="D106" i="7"/>
  <c r="D113" i="7" s="1"/>
  <c r="H106" i="7"/>
  <c r="H113" i="7" s="1"/>
  <c r="E106" i="7"/>
  <c r="E113" i="7" s="1"/>
  <c r="C106" i="7"/>
  <c r="C113" i="7" s="1"/>
  <c r="G106" i="7"/>
  <c r="G113" i="7" s="1"/>
  <c r="F106" i="7"/>
  <c r="F113" i="7" s="1"/>
  <c r="F89" i="7"/>
  <c r="F96" i="7" s="1"/>
  <c r="G89" i="7"/>
  <c r="G96" i="7" s="1"/>
  <c r="E89" i="7"/>
  <c r="E96" i="7" s="1"/>
  <c r="H89" i="7"/>
  <c r="H96" i="7" s="1"/>
  <c r="D89" i="7"/>
  <c r="D96" i="7" s="1"/>
  <c r="C89" i="7"/>
  <c r="C96" i="7" s="1"/>
  <c r="H55" i="7"/>
  <c r="H62" i="7" s="1"/>
  <c r="E55" i="7"/>
  <c r="E62" i="7" s="1"/>
  <c r="G55" i="7"/>
  <c r="G62" i="7" s="1"/>
  <c r="C55" i="7"/>
  <c r="C62" i="7" s="1"/>
  <c r="F55" i="7"/>
  <c r="F62" i="7" s="1"/>
  <c r="D55" i="7"/>
  <c r="D62" i="7" s="1"/>
  <c r="F123" i="7"/>
  <c r="F130" i="7" s="1"/>
  <c r="H123" i="7"/>
  <c r="H130" i="7" s="1"/>
  <c r="D123" i="7"/>
  <c r="D130" i="7" s="1"/>
  <c r="C123" i="7"/>
  <c r="C130" i="7" s="1"/>
  <c r="G123" i="7"/>
  <c r="G130" i="7" s="1"/>
  <c r="E123" i="7"/>
  <c r="E130" i="7" s="1"/>
  <c r="D140" i="7"/>
  <c r="D147" i="7" s="1"/>
  <c r="H140" i="7"/>
  <c r="H147" i="7" s="1"/>
  <c r="E140" i="7"/>
  <c r="E147" i="7" s="1"/>
  <c r="C140" i="7"/>
  <c r="C147" i="7" s="1"/>
  <c r="G140" i="7"/>
  <c r="G147" i="7" s="1"/>
  <c r="F140" i="7"/>
  <c r="F147" i="7" s="1"/>
  <c r="D72" i="7"/>
  <c r="D79" i="7" s="1"/>
  <c r="G72" i="7"/>
  <c r="G79" i="7" s="1"/>
  <c r="C72" i="7"/>
  <c r="C79" i="7" s="1"/>
  <c r="F72" i="7"/>
  <c r="F79" i="7" s="1"/>
  <c r="E72" i="7"/>
  <c r="E79" i="7" s="1"/>
  <c r="H72" i="7"/>
  <c r="H79" i="7" s="1"/>
  <c r="C12" i="3" a="1"/>
  <c r="C12" i="3" s="1"/>
  <c r="C11" i="3" a="1"/>
  <c r="C11" i="3" s="1"/>
  <c r="B19" i="3" a="1"/>
  <c r="B19" i="3" s="1"/>
  <c r="F20" i="2"/>
  <c r="A138" i="7" s="1"/>
  <c r="F21" i="2"/>
  <c r="A155" i="7" s="1"/>
  <c r="F18" i="2"/>
  <c r="A104" i="7" s="1"/>
  <c r="F17" i="2"/>
  <c r="A87" i="7" s="1"/>
  <c r="F15" i="2"/>
  <c r="A53" i="7" s="1"/>
  <c r="F16" i="2"/>
  <c r="A70" i="7" s="1"/>
  <c r="F14" i="2"/>
  <c r="A36" i="7" s="1"/>
  <c r="F13" i="2"/>
  <c r="A19" i="7" s="1"/>
  <c r="F12" i="2"/>
  <c r="A2" i="7" s="1"/>
  <c r="F19" i="2"/>
  <c r="A121" i="7" s="1"/>
  <c r="K7" i="7" l="1"/>
  <c r="P5" i="7"/>
  <c r="M7" i="7"/>
  <c r="L8" i="7"/>
  <c r="L6" i="7"/>
  <c r="M5" i="7"/>
  <c r="N8" i="7"/>
  <c r="N4" i="7"/>
  <c r="O5" i="7"/>
  <c r="N6" i="7"/>
  <c r="P7" i="7"/>
  <c r="M8" i="7"/>
  <c r="K5" i="7"/>
  <c r="K6" i="7"/>
  <c r="L4" i="7"/>
  <c r="L7" i="7"/>
  <c r="N7" i="7"/>
  <c r="M4" i="7"/>
  <c r="O6" i="7"/>
  <c r="K4" i="7"/>
  <c r="Q4" i="7" s="1"/>
  <c r="M6" i="7"/>
  <c r="L5" i="7"/>
  <c r="O7" i="7"/>
  <c r="O8" i="7"/>
  <c r="P6" i="7"/>
  <c r="O4" i="7"/>
  <c r="N5" i="7"/>
  <c r="P4" i="7"/>
  <c r="K8" i="7"/>
  <c r="Q8" i="7" s="1"/>
  <c r="P8" i="7"/>
  <c r="L3" i="7"/>
  <c r="L9" i="7" s="1"/>
  <c r="O3" i="7"/>
  <c r="O9" i="7" s="1"/>
  <c r="Q5" i="7"/>
  <c r="Q7" i="7"/>
  <c r="K3" i="7"/>
  <c r="M3" i="7"/>
  <c r="M9" i="7" s="1"/>
  <c r="Q6" i="7"/>
  <c r="N3" i="7"/>
  <c r="N9" i="7" s="1"/>
  <c r="P3" i="7"/>
  <c r="P9" i="7" s="1"/>
  <c r="C18" i="3" a="1"/>
  <c r="C18" i="3" s="1"/>
  <c r="R8" i="7" l="1"/>
  <c r="N24" i="3" s="1"/>
  <c r="R5" i="7"/>
  <c r="N21" i="3" s="1"/>
  <c r="R7" i="7"/>
  <c r="N23" i="3" s="1"/>
  <c r="R4" i="7"/>
  <c r="N20" i="3" s="1"/>
  <c r="R6" i="7"/>
  <c r="N22" i="3" s="1"/>
  <c r="Q3" i="7"/>
  <c r="K9" i="7"/>
  <c r="R3" i="7" l="1"/>
  <c r="N19"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233066-8C32-42D2-9D1C-112CD67C763F}" name="Gewichtung_Smart" type="102" refreshedVersion="8" minRefreshableVersion="5" refreshOnLoad="1" saveData="1">
    <extLst>
      <ext xmlns:x15="http://schemas.microsoft.com/office/spreadsheetml/2010/11/main" uri="{DE250136-89BD-433C-8126-D09CA5730AF9}">
        <x15:connection id="Gewichtung_Smart">
          <x15:rangePr sourceName="_xlcn.Gewichtung_Smart1"/>
        </x15:connection>
      </ext>
    </extLst>
  </connection>
  <connection id="2" xr16:uid="{E6D4C200-5FD9-4DEF-ACDD-B240814BE5CC}" name="Massnahmen" type="102" refreshedVersion="8" minRefreshableVersion="5" saveData="1">
    <extLst>
      <ext xmlns:x15="http://schemas.microsoft.com/office/spreadsheetml/2010/11/main" uri="{DE250136-89BD-433C-8126-D09CA5730AF9}">
        <x15:connection id="Massnahmen">
          <x15:rangePr sourceName="_xlcn.Massnahmen1"/>
        </x15:connection>
      </ext>
    </extLst>
  </connection>
  <connection id="3" xr16:uid="{3B85FEEC-15F3-4338-8F69-3ED3185227C4}" keepAlive="1" name="ThisWorkbookDataModel" description="Datenmodel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<sst xmlns="http://schemas.openxmlformats.org/spreadsheetml/2006/main" count="147" uniqueCount="109">
  <si>
    <t xml:space="preserve">In diesem Arbeitsblatt bewerten Sie im ersten Schritt, wie wichtig Ihnen die verschiedenen Kriterien sind. </t>
  </si>
  <si>
    <t>Dimension</t>
  </si>
  <si>
    <t>Bezeichnung</t>
  </si>
  <si>
    <t>Zu beantwortende Frage</t>
  </si>
  <si>
    <t>Anleitung:</t>
  </si>
  <si>
    <t>Gewichtung der Kriterien mit SMART</t>
  </si>
  <si>
    <t>Simple Multi-Attribute Rating Technique</t>
  </si>
  <si>
    <t>* Vergeben Sie also den anderen Kriterien im Verhältnis deren Wichtigkeit zum ersten Kriterium entsprechend weniger oder gleich viele Punkte.</t>
  </si>
  <si>
    <t>Punkte</t>
  </si>
  <si>
    <t>Umsetzbarkeit</t>
  </si>
  <si>
    <t>Einfluss auf Umsetzbarkeit</t>
  </si>
  <si>
    <t>Verfügbarkeit</t>
  </si>
  <si>
    <t>Erfahrung mit der Maßnahme</t>
  </si>
  <si>
    <t>Einfluss auf Verkehrsaufkommen</t>
  </si>
  <si>
    <t>THG-Reduktionspotential</t>
  </si>
  <si>
    <t>THG-Vermeidungskosten</t>
  </si>
  <si>
    <t>Einfluss auf Logistikleistung</t>
  </si>
  <si>
    <t>Akzeptanz der erweiterten Stakeholder</t>
  </si>
  <si>
    <t>Level an Unsicherheit</t>
  </si>
  <si>
    <t>Inwieweit hat das Unternehmen die Möglichkeit und die Macht, die Umsetzung dieser Maßnahme zu beeinflussen?</t>
  </si>
  <si>
    <t>Sind Technologie und Infrastruktur kommerziell verfügbar?</t>
  </si>
  <si>
    <t>Gibt es bereits Pilotprojekte oder reale Umsetzungen der Maßnahme im Unternehmen oder dessen Umfeld?</t>
  </si>
  <si>
    <t>Wie wirkt sich die Maßnahme auf das lokale Verkehrsaufkommen in der Umgebung des betreffenden Standorts aus?</t>
  </si>
  <si>
    <t>Wie viel Prozent der gesamten Scope 1- und Scope 3- der Well-to-Wheel Logistik Emissionen werden durch die Umsetzung der Maßnahme reduziert?</t>
  </si>
  <si>
    <t xml:space="preserve">Wie hoch sind die CO2-Vermeidungskosten, die mit der Umsetzung der Maßnahme verbunden sind, ausgedrückt als spezifische Kosten pro Tonne eingesparter CO2-Emissionen in Euro? Berücksichtigen Sie die TCO/LCC bei der Kostenberechnung. </t>
  </si>
  <si>
    <t>Wie wirkt sich die Maßnahme auf die Wettbewerbsfähigkeit der Logistikleistung aus, z. B. auf die erforderliche Lieferzeit, die Lieferzuverlässigkeit oder die Flexibilität?</t>
  </si>
  <si>
    <t>Wie wirkt sich die Umsetzung der Maßnahme auf die Anforderungen an die Mitarbeiter aus, z.B. auf die Veränderung der Komplexität?</t>
  </si>
  <si>
    <t>Wie hoch schätzen Sie die Akzeptanz bzw. den Widerstand erweiterter Interessengruppen (z. B. der Öffentlichkeit, der Anwohner usw.) gegenüber der Durchführung der Maßnahme ein?</t>
  </si>
  <si>
    <t>Wie schätzen Sie den Grad der Unsicherheit bei der Umsetzung der Maßnahme ein (z. B. Normung, vorhersehbare technologische Entwicklungen, politische Entscheidungen usw.)? Eine gute Bewertung bedeutet in diesem Zusammenhang nicht unbedingt einen positiven Ausblick, sondern deutet eher auf ein gewisses Maß an Vorhersehbarkeit der Entwicklung hin.</t>
  </si>
  <si>
    <t>Umwelt</t>
  </si>
  <si>
    <t>Risiko</t>
  </si>
  <si>
    <t>Wettbewerbs-fähigkeit</t>
  </si>
  <si>
    <t>* Die Wichtigkeit dieses Kriteriums ist nun die Referenz für die Punktezuordnung der anderen Kriterien.</t>
  </si>
  <si>
    <t>Rel. Gewicht</t>
  </si>
  <si>
    <t>* Vergeben Sie dem Kriterium, das Ihnen am wichtigsten ist, in der Spalte "Punkte" zunächst 100 Punkte.</t>
  </si>
  <si>
    <t>Evaluierung der Maßnahmen mit PROMETHEE 2</t>
  </si>
  <si>
    <t>Preference Ranking Organisation Method for Enrichment Evaluation</t>
  </si>
  <si>
    <t>In diesem Arbeitsblatt bewerten Sie die Maßnahmen in den Kriterien.</t>
  </si>
  <si>
    <t>Erfassung der Maßnahmen und Klassifizierung nach ASI</t>
  </si>
  <si>
    <t>Avoid-Shift-Improve als Framework für die Maßnahmen</t>
  </si>
  <si>
    <t>In diesem Arbeitsblatt erfassen Sie Maßnahmen und Projekte, die Sie bewerten möchten.</t>
  </si>
  <si>
    <t>Kategorie</t>
  </si>
  <si>
    <t>Jahr der Implementierung</t>
  </si>
  <si>
    <t>* Fügen Sie der Tabelle beliebig viele Maßnahmen hinzu und klassifizieren Sie diese nach der ASI-Logik</t>
  </si>
  <si>
    <t>Metadaten und Konfiguration</t>
  </si>
  <si>
    <t>Maßnahmen-Kategorien</t>
  </si>
  <si>
    <t>Avoid (Vermeiden)</t>
  </si>
  <si>
    <t>Shift (Verlagern)</t>
  </si>
  <si>
    <t>Improve (Verbessern)</t>
  </si>
  <si>
    <t>Beschreibung</t>
  </si>
  <si>
    <t>Titel</t>
  </si>
  <si>
    <t>* Wählen Sie einen aussagekräftigen Titel und eine detaillierte Beschreibung</t>
  </si>
  <si>
    <t>K.O.</t>
  </si>
  <si>
    <t>Kriterium</t>
  </si>
  <si>
    <t>Fragestellung</t>
  </si>
  <si>
    <t>Gewichtung</t>
  </si>
  <si>
    <t>Antwortmöglichkeiten</t>
  </si>
  <si>
    <t>1 - Das Unternehmen hat keinen Einfluss auf die Umsetzung der Maßnahme.
2 - Das Unternehmen hat derzeit keinen Einfluss auf die Umsetzung der Maßnahme, aber es besteht die Möglichkeit, dass sich dies zeitnah ändert.
3 - Das Unternehmen hat eine geringe Macht und kann lediglich versuchen, Überzeugungsarbeit zu leisten.
4 - Das Unternehmen hat eine hohe Macht, kann die Maßnahme aber nicht selbst umsetzen.
5 - Das Unternehmen hat volle Entscheidungsmacht und kann die Maßnahme jederzeit umsetzen.</t>
  </si>
  <si>
    <t>1 - Technologie nicht verfügbar 
2 - nur in Ausnahmefällen, mit Sondergenehmigung oder in F&amp;E -Projekten verfügbar
3 - in geringen Mengen/Kapazitäten (bspw.in spez. Bereichen/Gebieten) verfügbar 
4 - gut verfügbar, geringe Anzahl an Lieferanten
5 - gut verfügbar, viele Lieferanten</t>
  </si>
  <si>
    <t>1 - reduziert stark 
2 - reduziert 
3 - neutral 
4 - vergrößert 
5 - vergrößert stark</t>
  </si>
  <si>
    <t>0-100%</t>
  </si>
  <si>
    <t>-inf bis +inf</t>
  </si>
  <si>
    <t>1 - Risko für starke Reduktion besteht
2 - Risko für leichte Reduktion besteht
3 - neutral / kein Einfluss / unsicher
4 - Chance auf leichte Verbesserung besteht
5 - Chance auf starke Verbesserung besteht</t>
  </si>
  <si>
    <t>1 - starke Ablehnung zu erwarten
2 - eher skeptische Haltung zu erwarten
3 - neutral / keine Meinung zu erwarten
4 - eher positive Haltung zu erwarten
5 - starke Akzeptanz zu erwarten</t>
  </si>
  <si>
    <t>1 - Große Sicherheit bzgl. der Gültigkeit der bei der Bewertung der Maßnahme verwendeten Annahmen bis 2030
2 - Gültigkeit der Annahmen bis 2030 wahrscheinlich
3 - Gültigkeit der Annahmen in den kommenden 2-3 Jahren wahrscheinlich, danach aber unsicher 
4 - Gültigkeit der Annahmen hängt an zeitnah fallenden Entscheidungen, die noch nicht getroffen wurden
5 - Große Unsicherheit bzgl. der Gültigkeit der Annahmen, keine großen Entscheidungen zeitnah zu erwarten</t>
  </si>
  <si>
    <t>1 - keine Berührungspunkte, keine Implementierung bekannt
2 - Maßnahme und Implementierung bekannt, Konsultation kaum möglich
3 - Implementierungen aus Unternehmen im weiteren Umfeld bekannt, Konsultation möglich aber schwierig
4 - Implementierungen aus Unternehmen im engen Umfeld bekannt, Konsultation einfach
5 - Ähnliche Maßnahme wurde im Unternehmen selbst bereits durchgeführt</t>
  </si>
  <si>
    <t>Präferenzfunktion</t>
  </si>
  <si>
    <t>Stufenweise: 
d&lt;=1 -&gt; 0.5
d&gt;=2 -&gt; 1</t>
  </si>
  <si>
    <t>Linear mit Indifferenz:
d&lt;5 -&gt; 0
5&lt;=d&lt;30 -&gt; linear
d&lt;=30 -&gt; 1</t>
  </si>
  <si>
    <t>Argumentation Likert: wenn M1 Wert 1 hat (starke Ablehnung) und M2 Wert 3 (neutral), dann ist M2 strikt zu bevorzugen. Hat M1 aber Wert 2 (eher Ablehnung), dann gibt es nur mehr schwache Präferenz</t>
  </si>
  <si>
    <t>Indifferenzschwelle q -&gt; bis Differenz q gelten die Maßnahmen als gleichwertig</t>
  </si>
  <si>
    <t>Präferenzschwelle p -&gt; ab Differenz p gilt eine Alternative als "strikt besser" -&gt; bedeutsamer Unterschied</t>
  </si>
  <si>
    <t>p(M1,M2)-&gt;Vorziehenswürdigkeit von M1 ggü M2, Glaubwürdigkeitsgrad für die Hypothese, dass M1 besser ist</t>
  </si>
  <si>
    <t>Bsp: es wird völlige Präferenz von Alternative A über B nur dann anerkannt, wenn die Differenz der Bewertung d(A,B) mindestens 10 ist</t>
  </si>
  <si>
    <t>Bsp: bei 5€ Kosten auf oder ab gibt es keine Präferenz der einen oder anderen Alternative</t>
  </si>
  <si>
    <t>Linear mit Indifferenz:
d&lt;std-abw -&gt; linear
d&gt;=std-abw -&gt; 1</t>
  </si>
  <si>
    <t>Ziel</t>
  </si>
  <si>
    <t>Max</t>
  </si>
  <si>
    <t>Min</t>
  </si>
  <si>
    <t>q (wenn linear)</t>
  </si>
  <si>
    <t>p (wenn linear)</t>
  </si>
  <si>
    <t>Preference Index</t>
  </si>
  <si>
    <t>leaving flow</t>
  </si>
  <si>
    <t>entering flow</t>
  </si>
  <si>
    <t>net flow</t>
  </si>
  <si>
    <t>Festlegung Präferenzfunktion:</t>
  </si>
  <si>
    <t>Präferenzkriterien</t>
  </si>
  <si>
    <t>Realisierbarkeitskriterien</t>
  </si>
  <si>
    <t>Anforderungen an/Akzeptanz durch Mitarbeiter</t>
  </si>
  <si>
    <t>E-LKW im Nahbereich unter 25km</t>
  </si>
  <si>
    <t>E-LKW im Nahbereich über 25km</t>
  </si>
  <si>
    <t>GrEAt-Log-Tool</t>
  </si>
  <si>
    <t>Das Green Evaluation of Alternatives for Logistics (GrEAt-Log) Tool ist ein multikriterielles Entscheidungsfindungsinstrument, das es Entscheidungsträgern in der Logistik ermöglicht, Dekarbonisierungsoptionen für ihre Logistikprozesse aufzulisten und zu bewerten.</t>
  </si>
  <si>
    <t xml:space="preserve">Bearbeiter: </t>
  </si>
  <si>
    <t xml:space="preserve">Stand: </t>
  </si>
  <si>
    <t>* Klicken Sie sich der Reihe nach durch die Arbeitsblätter in der Datei.</t>
  </si>
  <si>
    <t>* Vergeben Sie als erstes die Gewichtungen für die Entscheidungskriterien.</t>
  </si>
  <si>
    <t xml:space="preserve">* Danach listen Sie die Details über die zu bewertenden Maßnahmen auf. </t>
  </si>
  <si>
    <t xml:space="preserve">* Im Anschluss klicken Sie im Tabellenblatt 3 auf den Button "Präferenzen berechnen". Dadurch werden im Hintergrund die notwendigen Tabellen für die Berechnung der Präferenzwerte erstellt. </t>
  </si>
  <si>
    <t xml:space="preserve">* Bewerten Sie nun die Maßnahmen. </t>
  </si>
  <si>
    <t>* Die Präferenzwerte sowie die dazuegehörige Matrix sollten sich automatisch aktualsieren. Ist dies nicht der Fall, klicken Sie erneut auf "Präferenzen berechnen".</t>
  </si>
  <si>
    <t>Standort:</t>
  </si>
  <si>
    <t>Kombinierter Verkehr von A nach B</t>
  </si>
  <si>
    <t>Transportoptimierter Lieferabruf für Lieferant A und B</t>
  </si>
  <si>
    <t>Einsparung von x LKW-Rundläufen pro Woche</t>
  </si>
  <si>
    <t>* Wir empfehlen, für die letzten beiden "K.O." Kriterien null Punkte zu vergeben.</t>
  </si>
  <si>
    <t>* Klicken Sie nach dem Anlegen der Maßnahmen auf "Präferenzen berechne" (Achtung: Inhalt muss aktiviert sein, ein Makro erstellt die entsp. Tabellen)</t>
  </si>
  <si>
    <t>* Bewerten Sie die Maßnahmen in den einzelnen Kriterien</t>
  </si>
  <si>
    <t>* ggf. müssen Sie für die Berechnung und Visualisierung (rechts neben der Präferenz) erneut auf "Präferenzen berechnen" klicken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</si>
</sst>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0000_-;\-* #,##0.0000_-;_-* &quot;-&quot;??_-;_-@_-"/>
  </numFmts>
  <fonts count="15"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i/>
      <sz val="12"/>
      <color theme="1"/>
      <name val="Calibri"/>
      <family val="2"/>
      <scheme val="minor"/>
    </font>
    <font>
      <i/>
      <sz val="12"/>
      <color theme="1"/>
      <name val="Calibri"/>
      <family val="2"/>
      <scheme val="minor"/>
    </font>
    <font>
      <i/>
      <sz val="10"/>
      <color theme="1"/>
      <name val="Calibri"/>
      <family val="2"/>
      <scheme val="minor"/>
    </font>
    <font>
      <sz val="11"/>
      <color rgb="FF000000"/>
      <name val="Calibri"/>
      <family val="2"/>
    </font>
    <font>
      <b/>
      <sz val="8"/>
      <color theme="1"/>
      <name val="Calibri"/>
      <family val="2"/>
      <scheme val="minor"/>
    </font>
    <font>
      <sz val="8"/>
      <color theme="1"/>
      <name val="Calibri"/>
      <family val="2"/>
      <scheme val="minor"/>
    </font>
    <font>
      <i/>
      <sz val="8"/>
      <color theme="1"/>
      <name val="Calibri"/>
      <family val="2"/>
      <scheme val="minor"/>
    </font>
    <font>
      <sz val="11"/>
      <color rgb="FF3F3F76"/>
      <name val="Calibri"/>
      <family val="2"/>
      <scheme val="minor"/>
    </font>
  </fonts>
  <fills count="5">
    <fill>
      <patternFill patternType="none"/>
    </fill>
    <fill>
      <patternFill patternType="gray125"/>
    </fill>
    <fill>
      <patternFill patternType="solid">
        <fgColor theme="5" tint="0.79998168889431442"/>
        <bgColor indexed="64"/>
      </patternFill>
    </fill>
    <fill>
      <patternFill patternType="solid">
        <fgColor theme="0" tint="-4.9989318521683403E-2"/>
        <bgColor indexed="64"/>
      </patternFill>
    </fill>
    <fill>
      <patternFill patternType="solid">
        <fgColor rgb="FFFFCC99"/>
      </patternFill>
    </fill>
  </fills>
  <borders count="3">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43" fontId="1" fillId="0" borderId="0" applyFont="0" applyFill="0" applyBorder="0" applyAlignment="0" applyProtection="0"/>
    <xf numFmtId="0" fontId="14" fillId="4" borderId="2" applyNumberFormat="0" applyAlignment="0" applyProtection="0"/>
  </cellStyleXfs>
  <cellXfs count="47">
    <xf numFmtId="0" fontId="0" fillId="0" borderId="0" xfId="0"/>
    <xf numFmtId="0" fontId="2" fillId="0" borderId="0" xfId="0" applyFont="1"/>
    <xf numFmtId="0" fontId="4" fillId="0" borderId="0" xfId="0" applyFont="1"/>
    <xf numFmtId="0" fontId="5" fillId="0" borderId="0" xfId="0" applyFont="1"/>
    <xf numFmtId="0" fontId="6" fillId="0" borderId="0" xfId="0" applyFont="1"/>
    <xf numFmtId="0" fontId="0" fillId="0" borderId="0" xfId="0" applyAlignment="1">
      <alignment wrapText="1"/>
    </xf>
    <xf numFmtId="0" fontId="5" fillId="0" borderId="0" xfId="0" applyFont="1" applyAlignment="1">
      <alignment wrapText="1"/>
    </xf>
    <xf numFmtId="0" fontId="3" fillId="0" borderId="0" xfId="0" applyFont="1"/>
    <xf numFmtId="0" fontId="5" fillId="0" borderId="0" xfId="0" applyFont="1" applyAlignment="1">
      <alignment vertical="center" wrapText="1"/>
    </xf>
    <xf numFmtId="0" fontId="0" fillId="0" borderId="0" xfId="0" applyAlignment="1">
      <alignment vertical="center" wrapText="1"/>
    </xf>
    <xf numFmtId="0" fontId="5" fillId="0" borderId="0" xfId="0" applyFont="1" applyAlignment="1">
      <alignment vertical="center"/>
    </xf>
    <xf numFmtId="164" fontId="5" fillId="0" borderId="0" xfId="1" applyNumberFormat="1" applyFont="1" applyFill="1" applyBorder="1" applyAlignment="1">
      <alignment vertical="center"/>
    </xf>
    <xf numFmtId="0" fontId="3" fillId="2" borderId="0" xfId="0" applyFont="1" applyFill="1"/>
    <xf numFmtId="0" fontId="5" fillId="2" borderId="0" xfId="0" applyFont="1" applyFill="1"/>
    <xf numFmtId="0" fontId="8" fillId="0" borderId="0" xfId="0" applyFont="1" applyAlignment="1">
      <alignment horizontal="center" vertical="center"/>
    </xf>
    <xf numFmtId="0" fontId="3" fillId="0" borderId="0" xfId="0" applyFont="1" applyAlignment="1">
      <alignment wrapText="1"/>
    </xf>
    <xf numFmtId="0" fontId="5" fillId="0" borderId="1" xfId="0" applyFont="1" applyBorder="1"/>
    <xf numFmtId="43" fontId="9" fillId="0" borderId="1" xfId="1" applyFont="1" applyFill="1" applyBorder="1" applyAlignment="1">
      <alignment wrapText="1"/>
    </xf>
    <xf numFmtId="0" fontId="9" fillId="0" borderId="0" xfId="0" applyFont="1" applyAlignment="1">
      <alignment vertical="top" wrapText="1"/>
    </xf>
    <xf numFmtId="0" fontId="9" fillId="0" borderId="0" xfId="0" applyFont="1" applyAlignment="1">
      <alignment vertical="top"/>
    </xf>
    <xf numFmtId="0" fontId="9" fillId="0" borderId="1" xfId="0" applyFont="1" applyBorder="1" applyAlignment="1">
      <alignment vertical="top"/>
    </xf>
    <xf numFmtId="0" fontId="3" fillId="0" borderId="0" xfId="0" applyFont="1" applyAlignment="1">
      <alignment vertical="top"/>
    </xf>
    <xf numFmtId="0" fontId="3" fillId="0" borderId="0" xfId="0" applyFont="1" applyAlignment="1">
      <alignment vertical="top" wrapText="1"/>
    </xf>
    <xf numFmtId="43" fontId="9" fillId="0" borderId="0" xfId="1" applyFont="1" applyFill="1" applyBorder="1" applyAlignment="1">
      <alignment vertical="top" wrapText="1"/>
    </xf>
    <xf numFmtId="0" fontId="7" fillId="0" borderId="0" xfId="0" applyFont="1" applyAlignment="1">
      <alignment horizontal="left"/>
    </xf>
    <xf numFmtId="164" fontId="5" fillId="0" borderId="0" xfId="0" applyNumberFormat="1" applyFont="1"/>
    <xf numFmtId="164" fontId="3" fillId="0" borderId="0" xfId="1" applyNumberFormat="1" applyFont="1" applyFill="1"/>
    <xf numFmtId="0" fontId="11" fillId="2" borderId="0" xfId="0" applyFont="1" applyFill="1"/>
    <xf numFmtId="0" fontId="12" fillId="2" borderId="0" xfId="0" applyFont="1" applyFill="1"/>
    <xf numFmtId="0" fontId="12" fillId="0" borderId="0" xfId="0" applyFont="1"/>
    <xf numFmtId="0" fontId="3" fillId="3" borderId="0" xfId="0" applyFont="1" applyFill="1" applyAlignment="1">
      <alignment vertical="top" wrapText="1"/>
    </xf>
    <xf numFmtId="0" fontId="9" fillId="3" borderId="0" xfId="0" applyFont="1" applyFill="1" applyAlignment="1">
      <alignment vertical="top" wrapText="1"/>
    </xf>
    <xf numFmtId="43" fontId="9" fillId="3" borderId="1" xfId="1" applyFont="1" applyFill="1" applyBorder="1" applyAlignment="1">
      <alignment wrapText="1"/>
    </xf>
    <xf numFmtId="0" fontId="5" fillId="3" borderId="0" xfId="0" applyFont="1" applyFill="1"/>
    <xf numFmtId="0" fontId="13" fillId="3" borderId="0" xfId="0" applyFont="1" applyFill="1" applyAlignment="1">
      <alignment horizontal="center"/>
    </xf>
    <xf numFmtId="43" fontId="9" fillId="3" borderId="0" xfId="1" applyFont="1" applyFill="1" applyBorder="1" applyAlignment="1">
      <alignment wrapText="1"/>
    </xf>
    <xf numFmtId="0" fontId="5" fillId="0" borderId="0" xfId="0" applyFont="1" applyAlignment="1">
      <alignment vertical="top" wrapText="1"/>
    </xf>
    <xf numFmtId="0" fontId="5" fillId="0" borderId="0" xfId="0" applyFont="1" applyAlignment="1">
      <alignment horizontal="left" vertical="top" wrapText="1"/>
    </xf>
    <xf numFmtId="0" fontId="5" fillId="2" borderId="0" xfId="0" applyFont="1" applyFill="1" applyAlignment="1">
      <alignment horizontal="left" vertical="top" wrapText="1"/>
    </xf>
    <xf numFmtId="0" fontId="5" fillId="2" borderId="0" xfId="0" applyFont="1" applyFill="1" applyAlignment="1">
      <alignment horizontal="left"/>
    </xf>
    <xf numFmtId="0" fontId="5" fillId="2" borderId="0" xfId="0" applyFont="1" applyFill="1" applyAlignment="1">
      <alignment horizontal="left" wrapText="1"/>
    </xf>
    <xf numFmtId="0" fontId="12" fillId="2" borderId="0" xfId="0" applyFont="1" applyFill="1" applyAlignment="1">
      <alignment horizontal="left" wrapText="1"/>
    </xf>
    <xf numFmtId="0" fontId="12" fillId="2" borderId="0" xfId="0" applyFont="1" applyFill="1" applyAlignment="1">
      <alignment horizontal="left" vertical="top" wrapText="1"/>
    </xf>
    <xf numFmtId="0" fontId="13" fillId="0" borderId="1" xfId="0" applyFont="1" applyBorder="1" applyAlignment="1">
      <alignment horizontal="center"/>
    </xf>
    <xf numFmtId="0" fontId="13" fillId="3" borderId="1" xfId="0" applyFont="1" applyFill="1" applyBorder="1" applyAlignment="1">
      <alignment horizontal="center"/>
    </xf>
    <xf numFmtId="0" fontId="14" fillId="4" borderId="2" xfId="2" applyAlignment="1">
      <alignment horizontal="left" vertical="top"/>
    </xf>
    <xf numFmtId="14" fontId="14" fillId="4" borderId="2" xfId="2" applyNumberFormat="1" applyAlignment="1">
      <alignment horizontal="left" vertical="top"/>
    </xf>
  </cellXfs>
  <cellStyles count="3">
    <cellStyle name="Eingabe" xfId="2" builtinId="20"/>
    <cellStyle name="Komma" xfId="1" builtinId="3"/>
    <cellStyle name="Standard" xfId="0" builtinId="0"/>
  </cellStyles>
  <dxfs count="25">
    <dxf>
      <fill>
        <patternFill patternType="solid">
          <fgColor indexed="64"/>
          <bgColor theme="0"/>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none">
          <fgColor indexed="64"/>
          <bgColor auto="1"/>
        </patternFill>
      </fill>
    </dxf>
    <dxf>
      <font>
        <b val="0"/>
        <i val="0"/>
        <strike val="0"/>
        <condense val="0"/>
        <extend val="0"/>
        <outline val="0"/>
        <shadow val="0"/>
        <u val="none"/>
        <vertAlign val="baseline"/>
        <sz val="12"/>
        <color theme="1"/>
        <name val="Calibri"/>
        <family val="2"/>
        <scheme val="minor"/>
      </font>
      <fill>
        <patternFill patternType="solid">
          <fgColor indexed="64"/>
          <bgColor theme="0"/>
        </patternFill>
      </fill>
    </dxf>
    <dxf>
      <font>
        <b val="0"/>
        <i val="0"/>
        <strike val="0"/>
        <condense val="0"/>
        <extend val="0"/>
        <outline val="0"/>
        <shadow val="0"/>
        <u val="none"/>
        <vertAlign val="baseline"/>
        <sz val="12"/>
        <color theme="1"/>
        <name val="Calibri"/>
        <family val="2"/>
        <scheme val="minor"/>
      </font>
      <numFmt numFmtId="164" formatCode="_-* #,##0.0000_-;\-* #,##0.0000_-;_-* &quot;-&quot;??_-;_-@_-"/>
      <fill>
        <patternFill patternType="none">
          <fgColor indexed="64"/>
          <bgColor auto="1"/>
        </patternFill>
      </fill>
      <alignment vertical="center" textRotation="0" wrapText="0" indent="0" justifyLastLine="0" shrinkToFit="0" readingOrder="0"/>
    </dxf>
    <dxf>
      <font>
        <b val="0"/>
        <i/>
        <strike val="0"/>
        <condense val="0"/>
        <extend val="0"/>
        <outline val="0"/>
        <shadow val="0"/>
        <u val="none"/>
        <vertAlign val="baseline"/>
        <sz val="12"/>
        <color theme="1"/>
        <name val="Calibri"/>
        <family val="2"/>
        <scheme val="minor"/>
      </font>
      <fill>
        <patternFill patternType="none">
          <fgColor indexed="64"/>
          <bgColor auto="1"/>
        </patternFill>
      </fill>
      <alignment horizontal="center" vertical="center" textRotation="0" wrapText="0"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worksheet" Target="worksheets/sheet3.xml"/><Relationship Id="rId21" Type="http://schemas.openxmlformats.org/officeDocument/2006/relationships/customXml" Target="../customXml/item8.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24" Type="http://schemas.openxmlformats.org/officeDocument/2006/relationships/customXml" Target="../customXml/item1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haredStrings" Target="sharedString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Reduktionspotentiale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tx>
            <c:v>E-LKW im Nahbereich unter 25km</c:v>
          </c:tx>
          <c:spPr>
            <a:solidFill>
              <a:schemeClr val="accent1">
                <a:alpha val="75000"/>
              </a:schemeClr>
            </a:solidFill>
            <a:ln w="25400">
              <a:noFill/>
            </a:ln>
            <a:effectLst/>
          </c:spPr>
          <c:invertIfNegative val="0"/>
          <c:xVal>
            <c:numRef>
              <c:f>'3_Evaluierung'!$M$19</c:f>
              <c:numCache>
                <c:formatCode>General</c:formatCode>
                <c:ptCount val="1"/>
                <c:pt idx="0">
                  <c:v>0</c:v>
                </c:pt>
              </c:numCache>
            </c:numRef>
          </c:xVal>
          <c:yVal>
            <c:numRef>
              <c:f>'3_Evaluierung'!$N$19</c:f>
              <c:numCache>
                <c:formatCode>_-* #\ ##0.0000_-;\-* #\ ##0.0000_-;_-* "-"??_-;_-@_-</c:formatCode>
                <c:ptCount val="1"/>
                <c:pt idx="0">
                  <c:v>0</c:v>
                </c:pt>
              </c:numCache>
            </c:numRef>
          </c:yVal>
          <c:bubbleSize>
            <c:numRef>
              <c:f>'3_Evaluierung'!$G$19</c:f>
              <c:numCache>
                <c:formatCode>General</c:formatCode>
                <c:ptCount val="1"/>
              </c:numCache>
            </c:numRef>
          </c:bubbleSize>
          <c:bubble3D val="0"/>
          <c:extLst>
            <c:ext xmlns:c16="http://schemas.microsoft.com/office/drawing/2014/chart" uri="{C3380CC4-5D6E-409C-BE32-E72D297353CC}">
              <c16:uniqueId val="{00000007-5344-4EF1-B2FA-B56DEE770BA5}"/>
            </c:ext>
          </c:extLst>
        </c:ser>
        <c:ser>
          <c:idx val="1"/>
          <c:order val="1"/>
          <c:tx>
            <c:v>E-LKW im Nahbereich über 25km</c:v>
          </c:tx>
          <c:spPr>
            <a:solidFill>
              <a:schemeClr val="accent2">
                <a:alpha val="75000"/>
              </a:schemeClr>
            </a:solidFill>
            <a:ln w="25400">
              <a:noFill/>
            </a:ln>
            <a:effectLst/>
          </c:spPr>
          <c:invertIfNegative val="0"/>
          <c:xVal>
            <c:numRef>
              <c:f>'3_Evaluierung'!$M$20</c:f>
              <c:numCache>
                <c:formatCode>General</c:formatCode>
                <c:ptCount val="1"/>
                <c:pt idx="0">
                  <c:v>0</c:v>
                </c:pt>
              </c:numCache>
            </c:numRef>
          </c:xVal>
          <c:yVal>
            <c:numRef>
              <c:f>'3_Evaluierung'!$N$20</c:f>
              <c:numCache>
                <c:formatCode>_-* #\ ##0.0000_-;\-* #\ ##0.0000_-;_-* "-"??_-;_-@_-</c:formatCode>
                <c:ptCount val="1"/>
                <c:pt idx="0">
                  <c:v>0</c:v>
                </c:pt>
              </c:numCache>
            </c:numRef>
          </c:yVal>
          <c:bubbleSize>
            <c:numRef>
              <c:f>'3_Evaluierung'!$G$20</c:f>
              <c:numCache>
                <c:formatCode>General</c:formatCode>
                <c:ptCount val="1"/>
              </c:numCache>
            </c:numRef>
          </c:bubbleSize>
          <c:bubble3D val="0"/>
          <c:extLst>
            <c:ext xmlns:c16="http://schemas.microsoft.com/office/drawing/2014/chart" uri="{C3380CC4-5D6E-409C-BE32-E72D297353CC}">
              <c16:uniqueId val="{00000008-5344-4EF1-B2FA-B56DEE770BA5}"/>
            </c:ext>
          </c:extLst>
        </c:ser>
        <c:ser>
          <c:idx val="2"/>
          <c:order val="2"/>
          <c:tx>
            <c:v>E-LKW im Fernverkeher</c:v>
          </c:tx>
          <c:spPr>
            <a:solidFill>
              <a:schemeClr val="accent3">
                <a:alpha val="75000"/>
              </a:schemeClr>
            </a:solidFill>
            <a:ln w="25400">
              <a:noFill/>
            </a:ln>
            <a:effectLst/>
          </c:spPr>
          <c:invertIfNegative val="0"/>
          <c:xVal>
            <c:numRef>
              <c:f>'3_Evaluierung'!$M$21</c:f>
              <c:numCache>
                <c:formatCode>General</c:formatCode>
                <c:ptCount val="1"/>
                <c:pt idx="0">
                  <c:v>0</c:v>
                </c:pt>
              </c:numCache>
            </c:numRef>
          </c:xVal>
          <c:yVal>
            <c:numRef>
              <c:f>'3_Evaluierung'!$N$21</c:f>
              <c:numCache>
                <c:formatCode>_-* #\ ##0.0000_-;\-* #\ ##0.0000_-;_-* "-"??_-;_-@_-</c:formatCode>
                <c:ptCount val="1"/>
                <c:pt idx="0">
                  <c:v>0</c:v>
                </c:pt>
              </c:numCache>
            </c:numRef>
          </c:yVal>
          <c:bubbleSize>
            <c:numRef>
              <c:f>'3_Evaluierung'!$G$21</c:f>
              <c:numCache>
                <c:formatCode>General</c:formatCode>
                <c:ptCount val="1"/>
              </c:numCache>
            </c:numRef>
          </c:bubbleSize>
          <c:bubble3D val="0"/>
          <c:extLst>
            <c:ext xmlns:c16="http://schemas.microsoft.com/office/drawing/2014/chart" uri="{C3380CC4-5D6E-409C-BE32-E72D297353CC}">
              <c16:uniqueId val="{00000009-5344-4EF1-B2FA-B56DEE770BA5}"/>
            </c:ext>
          </c:extLst>
        </c:ser>
        <c:ser>
          <c:idx val="3"/>
          <c:order val="3"/>
          <c:tx>
            <c:v>Bio-LNG LKW für Fern-LKWs</c:v>
          </c:tx>
          <c:spPr>
            <a:solidFill>
              <a:schemeClr val="accent4">
                <a:alpha val="75000"/>
              </a:schemeClr>
            </a:solidFill>
            <a:ln w="25400">
              <a:noFill/>
            </a:ln>
            <a:effectLst/>
          </c:spPr>
          <c:invertIfNegative val="0"/>
          <c:xVal>
            <c:numRef>
              <c:f>'3_Evaluierung'!$M$22</c:f>
              <c:numCache>
                <c:formatCode>General</c:formatCode>
                <c:ptCount val="1"/>
                <c:pt idx="0">
                  <c:v>0</c:v>
                </c:pt>
              </c:numCache>
            </c:numRef>
          </c:xVal>
          <c:yVal>
            <c:numRef>
              <c:f>'3_Evaluierung'!$N$22</c:f>
              <c:numCache>
                <c:formatCode>_-* #\ ##0.0000_-;\-* #\ ##0.0000_-;_-* "-"??_-;_-@_-</c:formatCode>
                <c:ptCount val="1"/>
                <c:pt idx="0">
                  <c:v>0</c:v>
                </c:pt>
              </c:numCache>
            </c:numRef>
          </c:yVal>
          <c:bubbleSize>
            <c:numRef>
              <c:f>'3_Evaluierung'!$G$22</c:f>
              <c:numCache>
                <c:formatCode>General</c:formatCode>
                <c:ptCount val="1"/>
              </c:numCache>
            </c:numRef>
          </c:bubbleSize>
          <c:bubble3D val="0"/>
          <c:extLst>
            <c:ext xmlns:c16="http://schemas.microsoft.com/office/drawing/2014/chart" uri="{C3380CC4-5D6E-409C-BE32-E72D297353CC}">
              <c16:uniqueId val="{0000000A-5344-4EF1-B2FA-B56DEE770BA5}"/>
            </c:ext>
          </c:extLst>
        </c:ser>
        <c:ser>
          <c:idx val="4"/>
          <c:order val="4"/>
          <c:tx>
            <c:v>Kombinierter Verkehr England-Österreich</c:v>
          </c:tx>
          <c:spPr>
            <a:solidFill>
              <a:schemeClr val="accent5">
                <a:alpha val="75000"/>
              </a:schemeClr>
            </a:solidFill>
            <a:ln w="25400">
              <a:noFill/>
            </a:ln>
            <a:effectLst/>
          </c:spPr>
          <c:invertIfNegative val="0"/>
          <c:xVal>
            <c:numRef>
              <c:f>'3_Evaluierung'!$M$23</c:f>
              <c:numCache>
                <c:formatCode>General</c:formatCode>
                <c:ptCount val="1"/>
                <c:pt idx="0">
                  <c:v>0</c:v>
                </c:pt>
              </c:numCache>
            </c:numRef>
          </c:xVal>
          <c:yVal>
            <c:numRef>
              <c:f>'3_Evaluierung'!$N$23</c:f>
              <c:numCache>
                <c:formatCode>_-* #\ ##0.0000_-;\-* #\ ##0.0000_-;_-* "-"??_-;_-@_-</c:formatCode>
                <c:ptCount val="1"/>
                <c:pt idx="0">
                  <c:v>0</c:v>
                </c:pt>
              </c:numCache>
            </c:numRef>
          </c:yVal>
          <c:bubbleSize>
            <c:numRef>
              <c:f>'3_Evaluierung'!$G$23</c:f>
              <c:numCache>
                <c:formatCode>General</c:formatCode>
                <c:ptCount val="1"/>
              </c:numCache>
            </c:numRef>
          </c:bubbleSize>
          <c:bubble3D val="0"/>
          <c:extLst>
            <c:ext xmlns:c16="http://schemas.microsoft.com/office/drawing/2014/chart" uri="{C3380CC4-5D6E-409C-BE32-E72D297353CC}">
              <c16:uniqueId val="{0000000B-5344-4EF1-B2FA-B56DEE770BA5}"/>
            </c:ext>
          </c:extLst>
        </c:ser>
        <c:ser>
          <c:idx val="5"/>
          <c:order val="5"/>
          <c:tx>
            <c:v>Transportoptimierter Lieferabruf für diverse Lieferanten im Pilotbetrieb</c:v>
          </c:tx>
          <c:spPr>
            <a:solidFill>
              <a:schemeClr val="accent6">
                <a:alpha val="75000"/>
              </a:schemeClr>
            </a:solidFill>
            <a:ln w="25400">
              <a:noFill/>
            </a:ln>
            <a:effectLst/>
          </c:spPr>
          <c:invertIfNegative val="0"/>
          <c:xVal>
            <c:numRef>
              <c:f>'3_Evaluierung'!$M$24</c:f>
              <c:numCache>
                <c:formatCode>General</c:formatCode>
                <c:ptCount val="1"/>
                <c:pt idx="0">
                  <c:v>0</c:v>
                </c:pt>
              </c:numCache>
            </c:numRef>
          </c:xVal>
          <c:yVal>
            <c:numRef>
              <c:f>'3_Evaluierung'!$N$24</c:f>
              <c:numCache>
                <c:formatCode>_-* #\ ##0.0000_-;\-* #\ ##0.0000_-;_-* "-"??_-;_-@_-</c:formatCode>
                <c:ptCount val="1"/>
                <c:pt idx="0">
                  <c:v>0</c:v>
                </c:pt>
              </c:numCache>
            </c:numRef>
          </c:yVal>
          <c:bubbleSize>
            <c:numRef>
              <c:f>'3_Evaluierung'!$G$24</c:f>
              <c:numCache>
                <c:formatCode>General</c:formatCode>
                <c:ptCount val="1"/>
              </c:numCache>
            </c:numRef>
          </c:bubbleSize>
          <c:bubble3D val="0"/>
          <c:extLst>
            <c:ext xmlns:c16="http://schemas.microsoft.com/office/drawing/2014/chart" uri="{C3380CC4-5D6E-409C-BE32-E72D297353CC}">
              <c16:uniqueId val="{0000000C-5344-4EF1-B2FA-B56DEE770BA5}"/>
            </c:ext>
          </c:extLst>
        </c:ser>
        <c:dLbls>
          <c:showLegendKey val="0"/>
          <c:showVal val="0"/>
          <c:showCatName val="0"/>
          <c:showSerName val="0"/>
          <c:showPercent val="0"/>
          <c:showBubbleSize val="0"/>
        </c:dLbls>
        <c:bubbleScale val="100"/>
        <c:showNegBubbles val="0"/>
        <c:axId val="456288640"/>
        <c:axId val="456284800"/>
      </c:bubbleChart>
      <c:valAx>
        <c:axId val="456288640"/>
        <c:scaling>
          <c:orientation val="minMax"/>
          <c:max val="6"/>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Realisierbarkeit</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284800"/>
        <c:crosses val="autoZero"/>
        <c:crossBetween val="midCat"/>
      </c:valAx>
      <c:valAx>
        <c:axId val="456284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Präferenz</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28864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1363980</xdr:colOff>
          <xdr:row>4</xdr:row>
          <xdr:rowOff>163830</xdr:rowOff>
        </xdr:from>
        <xdr:to>
          <xdr:col>8</xdr:col>
          <xdr:colOff>419100</xdr:colOff>
          <xdr:row>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ea typeface="Calibri"/>
                  <a:cs typeface="Calibri"/>
                </a:rPr>
                <a:t>Präferenzen berechnen</a:t>
              </a:r>
            </a:p>
          </xdr:txBody>
        </xdr:sp>
        <xdr:clientData fPrintsWithSheet="0"/>
      </xdr:twoCellAnchor>
    </mc:Choice>
    <mc:Fallback/>
  </mc:AlternateContent>
  <xdr:twoCellAnchor>
    <xdr:from>
      <xdr:col>14</xdr:col>
      <xdr:colOff>382904</xdr:colOff>
      <xdr:row>17</xdr:row>
      <xdr:rowOff>188595</xdr:rowOff>
    </xdr:from>
    <xdr:to>
      <xdr:col>22</xdr:col>
      <xdr:colOff>567690</xdr:colOff>
      <xdr:row>24</xdr:row>
      <xdr:rowOff>64771</xdr:rowOff>
    </xdr:to>
    <xdr:graphicFrame macro="">
      <xdr:nvGraphicFramePr>
        <xdr:cNvPr id="2" name="Diagramm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nsicht1" id="{FEE18BE8-B940-491E-8262-779B32C0418F}">
    <nsvFilter filterId="{2EF09D96-6AE2-4F75-9F0E-2F0D5BC14095}" ref="B11:F21" tableId="1"/>
  </namedSheetView>
</namedSheetView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F09D96-6AE2-4F75-9F0E-2F0D5BC14095}" name="Gewichtung_Smart" displayName="Gewichtung_Smart" ref="B11:F21" headerRowDxfId="24" dataDxfId="22" totalsRowDxfId="21" headerRowBorderDxfId="23">
  <autoFilter ref="B11:F21" xr:uid="{2EF09D96-6AE2-4F75-9F0E-2F0D5BC14095}"/>
  <sortState xmlns:xlrd2="http://schemas.microsoft.com/office/spreadsheetml/2017/richdata2" ref="B12:F21">
    <sortCondition descending="1" ref="B11:B21"/>
  </sortState>
  <tableColumns count="5">
    <tableColumn id="1" xr3:uid="{7AEF3593-B897-4E1A-A3C9-E12D4BC7DF86}" name="Dimension" totalsRowLabel="Ergebnis" dataDxfId="20" totalsRowDxfId="19"/>
    <tableColumn id="2" xr3:uid="{E047E513-7CC0-4F8E-9782-E847F79CD96E}" name="Bezeichnung" dataDxfId="18" totalsRowDxfId="17"/>
    <tableColumn id="3" xr3:uid="{F03F1D87-4BCF-443F-93BC-6EC871E59F30}" name="Zu beantwortende Frage" dataDxfId="16" totalsRowDxfId="15"/>
    <tableColumn id="4" xr3:uid="{94B531E6-B89A-48FD-AE6D-672C12AE6770}" name="Punkte" dataDxfId="14"/>
    <tableColumn id="5" xr3:uid="{FC5A4077-0E9E-43C7-98DF-622A04FC614C}" name="Rel. Gewicht" totalsRowFunction="count" dataDxfId="13" totalsRowDxfId="12" dataCellStyle="Komma">
      <calculatedColumnFormula>Gewichtung_Smart[[#This Row],[Punkte]]/SUM(Gewichtung_Smart[[#All],[Punkte]])</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A8A5D0-0802-4A18-9D7E-5606AA71B622}" name="Massnahmen" displayName="Massnahmen" ref="B9:E13" headerRowDxfId="11" dataDxfId="9" totalsRowDxfId="8" headerRowBorderDxfId="10">
  <autoFilter ref="B9:E13" xr:uid="{82A8A5D0-0802-4A18-9D7E-5606AA71B622}"/>
  <sortState xmlns:xlrd2="http://schemas.microsoft.com/office/spreadsheetml/2017/richdata2" ref="B10:E10">
    <sortCondition descending="1" ref="B9:B10"/>
  </sortState>
  <tableColumns count="4">
    <tableColumn id="1" xr3:uid="{2D0D842B-956F-4AEB-A402-2E87B1716AFC}" name="Kategorie" totalsRowLabel="Ergebnis" dataDxfId="7" totalsRowDxfId="6"/>
    <tableColumn id="2" xr3:uid="{AAE529CA-CD0A-40FA-B8C7-5AAF74E18D25}" name="Titel" dataDxfId="5" totalsRowDxfId="4"/>
    <tableColumn id="6" xr3:uid="{7B6CC932-E406-4002-B3D8-7415443D0A12}" name="Beschreibung" dataDxfId="3" totalsRowDxfId="2"/>
    <tableColumn id="3" xr3:uid="{8142F572-C3ED-439C-A4C7-56AC70CC557B}" name="Jahr der Implementierung" dataDxfId="1" totalsRow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14"/>
  <sheetViews>
    <sheetView showGridLines="0" tabSelected="1" zoomScaleNormal="100" workbookViewId="0">
      <selection activeCell="C5" sqref="C5:H5"/>
    </sheetView>
  </sheetViews>
  <sheetFormatPr baseColWidth="10" defaultColWidth="8.83984375" defaultRowHeight="14.4" x14ac:dyDescent="0.55000000000000004"/>
  <cols>
    <col min="1" max="1" width="2.7890625" customWidth="1"/>
    <col min="2" max="2" width="12.68359375" customWidth="1"/>
    <col min="3" max="3" width="10.3125" bestFit="1" customWidth="1"/>
    <col min="10" max="10" width="2.7890625" customWidth="1"/>
    <col min="11" max="11" width="2.734375" customWidth="1"/>
  </cols>
  <sheetData>
    <row r="1" spans="1:10" ht="15.6" x14ac:dyDescent="0.6">
      <c r="A1" s="3"/>
      <c r="B1" s="3"/>
      <c r="C1" s="3"/>
      <c r="D1" s="6"/>
      <c r="E1" s="3"/>
    </row>
    <row r="2" spans="1:10" ht="20.399999999999999" x14ac:dyDescent="0.75">
      <c r="A2" s="3"/>
      <c r="B2" s="4" t="s">
        <v>91</v>
      </c>
      <c r="C2" s="3"/>
      <c r="D2" s="6"/>
      <c r="E2" s="3"/>
    </row>
    <row r="3" spans="1:10" ht="66.3" customHeight="1" x14ac:dyDescent="0.6">
      <c r="A3" s="3"/>
      <c r="B3" s="37" t="s">
        <v>92</v>
      </c>
      <c r="C3" s="37"/>
      <c r="D3" s="37"/>
      <c r="E3" s="37"/>
      <c r="F3" s="37"/>
      <c r="G3" s="37"/>
      <c r="H3" s="37"/>
      <c r="I3" s="37"/>
      <c r="J3" s="36"/>
    </row>
    <row r="4" spans="1:10" ht="14.4" customHeight="1" x14ac:dyDescent="0.6">
      <c r="A4" s="3"/>
      <c r="B4" s="36"/>
      <c r="C4" s="36"/>
      <c r="D4" s="36"/>
      <c r="E4" s="36"/>
      <c r="F4" s="36"/>
      <c r="G4" s="36"/>
      <c r="H4" s="36"/>
      <c r="I4" s="36"/>
      <c r="J4" s="36"/>
    </row>
    <row r="5" spans="1:10" ht="14.4" customHeight="1" x14ac:dyDescent="0.6">
      <c r="A5" s="3"/>
      <c r="B5" s="22" t="s">
        <v>101</v>
      </c>
      <c r="C5" s="45"/>
      <c r="D5" s="45"/>
      <c r="E5" s="45"/>
      <c r="F5" s="45"/>
      <c r="G5" s="45"/>
      <c r="H5" s="45"/>
      <c r="I5" s="36"/>
      <c r="J5" s="36"/>
    </row>
    <row r="6" spans="1:10" ht="14.4" customHeight="1" x14ac:dyDescent="0.6">
      <c r="A6" s="3"/>
      <c r="B6" s="22" t="s">
        <v>93</v>
      </c>
      <c r="C6" s="45"/>
      <c r="D6" s="45"/>
      <c r="E6" s="45"/>
      <c r="F6" s="45"/>
      <c r="G6" s="45"/>
      <c r="H6" s="45"/>
      <c r="I6" s="36"/>
      <c r="J6" s="36"/>
    </row>
    <row r="7" spans="1:10" ht="14.4" customHeight="1" x14ac:dyDescent="0.6">
      <c r="A7" s="3"/>
      <c r="B7" s="22" t="s">
        <v>94</v>
      </c>
      <c r="C7" s="46"/>
      <c r="D7" s="46"/>
      <c r="E7" s="46"/>
      <c r="F7" s="46"/>
      <c r="G7" s="46"/>
      <c r="H7" s="46"/>
      <c r="I7" s="36"/>
      <c r="J7" s="36"/>
    </row>
    <row r="8" spans="1:10" ht="14.4" customHeight="1" x14ac:dyDescent="0.6">
      <c r="A8" s="3"/>
      <c r="B8" s="3"/>
      <c r="C8" s="3"/>
      <c r="D8" s="6"/>
      <c r="E8" s="3"/>
    </row>
    <row r="9" spans="1:10" ht="15.6" x14ac:dyDescent="0.6">
      <c r="A9" s="3"/>
      <c r="B9" s="12" t="s">
        <v>4</v>
      </c>
      <c r="C9" s="38" t="s">
        <v>95</v>
      </c>
      <c r="D9" s="38"/>
      <c r="E9" s="38"/>
      <c r="F9" s="38"/>
      <c r="G9" s="38"/>
      <c r="H9" s="38"/>
      <c r="I9" s="38"/>
      <c r="J9" s="38"/>
    </row>
    <row r="10" spans="1:10" ht="15.6" customHeight="1" x14ac:dyDescent="0.6">
      <c r="A10" s="3"/>
      <c r="B10" s="13"/>
      <c r="C10" s="38" t="s">
        <v>96</v>
      </c>
      <c r="D10" s="38"/>
      <c r="E10" s="38"/>
      <c r="F10" s="38"/>
      <c r="G10" s="38"/>
      <c r="H10" s="38"/>
      <c r="I10" s="38"/>
      <c r="J10" s="38"/>
    </row>
    <row r="11" spans="1:10" ht="15.6" x14ac:dyDescent="0.6">
      <c r="B11" s="13"/>
      <c r="C11" s="38" t="s">
        <v>97</v>
      </c>
      <c r="D11" s="38"/>
      <c r="E11" s="38"/>
      <c r="F11" s="38"/>
      <c r="G11" s="38"/>
      <c r="H11" s="38"/>
      <c r="I11" s="38"/>
      <c r="J11" s="38"/>
    </row>
    <row r="12" spans="1:10" ht="51" customHeight="1" x14ac:dyDescent="0.6">
      <c r="B12" s="13"/>
      <c r="C12" s="38" t="s">
        <v>98</v>
      </c>
      <c r="D12" s="38"/>
      <c r="E12" s="38"/>
      <c r="F12" s="38"/>
      <c r="G12" s="38"/>
      <c r="H12" s="38"/>
      <c r="I12" s="38"/>
      <c r="J12" s="38"/>
    </row>
    <row r="13" spans="1:10" ht="15.6" x14ac:dyDescent="0.6">
      <c r="B13" s="13"/>
      <c r="C13" s="38" t="s">
        <v>99</v>
      </c>
      <c r="D13" s="38"/>
      <c r="E13" s="38"/>
      <c r="F13" s="38"/>
      <c r="G13" s="38"/>
      <c r="H13" s="38"/>
      <c r="I13" s="38"/>
      <c r="J13" s="38"/>
    </row>
    <row r="14" spans="1:10" ht="51.9" customHeight="1" x14ac:dyDescent="0.6">
      <c r="B14" s="13"/>
      <c r="C14" s="38" t="s">
        <v>100</v>
      </c>
      <c r="D14" s="38"/>
      <c r="E14" s="38"/>
      <c r="F14" s="38"/>
      <c r="G14" s="38"/>
      <c r="H14" s="38"/>
      <c r="I14" s="38"/>
      <c r="J14" s="38"/>
    </row>
  </sheetData>
  <mergeCells count="10">
    <mergeCell ref="B3:I3"/>
    <mergeCell ref="C11:J11"/>
    <mergeCell ref="C12:J12"/>
    <mergeCell ref="C13:J13"/>
    <mergeCell ref="C14:J14"/>
    <mergeCell ref="C9:J9"/>
    <mergeCell ref="C10:J10"/>
    <mergeCell ref="C5:H5"/>
    <mergeCell ref="C6:H6"/>
    <mergeCell ref="C7:H7"/>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9F5F3-174B-44BE-AF2C-B21143098D53}">
  <sheetPr codeName="Tabelle2"/>
  <dimension ref="B2:I21"/>
  <sheetViews>
    <sheetView showGridLines="0" zoomScaleNormal="100" zoomScaleSheetLayoutView="95" workbookViewId="0">
      <selection activeCell="C9" sqref="C9:F9"/>
    </sheetView>
  </sheetViews>
  <sheetFormatPr baseColWidth="10" defaultRowHeight="15.6" x14ac:dyDescent="0.6"/>
  <cols>
    <col min="1" max="1" width="2.7890625" style="3" customWidth="1"/>
    <col min="2" max="2" width="14.3671875" style="3" customWidth="1"/>
    <col min="3" max="3" width="30.5234375" style="3" customWidth="1"/>
    <col min="4" max="4" width="65.578125" style="3" customWidth="1"/>
    <col min="5" max="5" width="10.05078125" style="3" bestFit="1" customWidth="1"/>
    <col min="6" max="6" width="14.26171875" style="3" bestFit="1" customWidth="1"/>
    <col min="7" max="7" width="2.7890625" style="3" customWidth="1"/>
    <col min="8" max="16384" width="10.9453125" style="3"/>
  </cols>
  <sheetData>
    <row r="2" spans="2:9" ht="20.399999999999999" x14ac:dyDescent="0.75">
      <c r="B2" s="4" t="s">
        <v>5</v>
      </c>
    </row>
    <row r="3" spans="2:9" x14ac:dyDescent="0.6">
      <c r="B3" s="3" t="s">
        <v>6</v>
      </c>
    </row>
    <row r="4" spans="2:9" x14ac:dyDescent="0.6">
      <c r="B4" s="3" t="s">
        <v>0</v>
      </c>
    </row>
    <row r="6" spans="2:9" x14ac:dyDescent="0.6">
      <c r="B6" s="12" t="s">
        <v>4</v>
      </c>
      <c r="C6" s="39" t="s">
        <v>34</v>
      </c>
      <c r="D6" s="39"/>
      <c r="E6" s="39"/>
      <c r="F6" s="39"/>
    </row>
    <row r="7" spans="2:9" ht="15.6" customHeight="1" x14ac:dyDescent="0.6">
      <c r="B7" s="13"/>
      <c r="C7" s="40" t="s">
        <v>32</v>
      </c>
      <c r="D7" s="40"/>
      <c r="E7" s="40"/>
      <c r="F7" s="40"/>
    </row>
    <row r="8" spans="2:9" ht="33" customHeight="1" x14ac:dyDescent="0.6">
      <c r="B8" s="13"/>
      <c r="C8" s="38" t="s">
        <v>7</v>
      </c>
      <c r="D8" s="38"/>
      <c r="E8" s="38"/>
      <c r="F8" s="38"/>
    </row>
    <row r="9" spans="2:9" x14ac:dyDescent="0.6">
      <c r="B9" s="13"/>
      <c r="C9" s="38" t="s">
        <v>105</v>
      </c>
      <c r="D9" s="38"/>
      <c r="E9" s="38"/>
      <c r="F9" s="38"/>
    </row>
    <row r="11" spans="2:9" ht="20.05" customHeight="1" x14ac:dyDescent="0.6">
      <c r="B11" s="7" t="s">
        <v>1</v>
      </c>
      <c r="C11" s="7" t="s">
        <v>2</v>
      </c>
      <c r="D11" s="7" t="s">
        <v>3</v>
      </c>
      <c r="E11" s="24" t="s">
        <v>8</v>
      </c>
      <c r="F11" s="7" t="s">
        <v>33</v>
      </c>
    </row>
    <row r="12" spans="2:9" ht="43.5" x14ac:dyDescent="0.6">
      <c r="B12" s="8" t="s">
        <v>31</v>
      </c>
      <c r="C12" s="9" t="s">
        <v>17</v>
      </c>
      <c r="D12" s="5" t="s">
        <v>27</v>
      </c>
      <c r="E12" s="14"/>
      <c r="F12" s="11" t="e">
        <f>Gewichtung_Smart[[#This Row],[Punkte]]/SUM(Gewichtung_Smart[[#All],[Punkte]])</f>
        <v>#DIV/0!</v>
      </c>
      <c r="I12" s="25"/>
    </row>
    <row r="13" spans="2:9" ht="43.5" x14ac:dyDescent="0.6">
      <c r="B13" s="8" t="s">
        <v>31</v>
      </c>
      <c r="C13" s="9" t="s">
        <v>16</v>
      </c>
      <c r="D13" s="5" t="s">
        <v>25</v>
      </c>
      <c r="E13" s="14"/>
      <c r="F13" s="11" t="e">
        <f>Gewichtung_Smart[[#This Row],[Punkte]]/SUM(Gewichtung_Smart[[#All],[Punkte]])</f>
        <v>#DIV/0!</v>
      </c>
    </row>
    <row r="14" spans="2:9" ht="57.9" x14ac:dyDescent="0.6">
      <c r="B14" s="8" t="s">
        <v>31</v>
      </c>
      <c r="C14" s="9" t="s">
        <v>15</v>
      </c>
      <c r="D14" s="5" t="s">
        <v>24</v>
      </c>
      <c r="E14" s="14"/>
      <c r="F14" s="11" t="e">
        <f>Gewichtung_Smart[[#This Row],[Punkte]]/SUM(Gewichtung_Smart[[#All],[Punkte]])</f>
        <v>#DIV/0!</v>
      </c>
    </row>
    <row r="15" spans="2:9" ht="29.1" x14ac:dyDescent="0.6">
      <c r="B15" s="10" t="s">
        <v>29</v>
      </c>
      <c r="C15" s="9" t="s">
        <v>13</v>
      </c>
      <c r="D15" s="5" t="s">
        <v>22</v>
      </c>
      <c r="E15" s="14"/>
      <c r="F15" s="11" t="e">
        <f>Gewichtung_Smart[[#This Row],[Punkte]]/SUM(Gewichtung_Smart[[#All],[Punkte]])</f>
        <v>#DIV/0!</v>
      </c>
    </row>
    <row r="16" spans="2:9" ht="29.1" x14ac:dyDescent="0.6">
      <c r="B16" s="10" t="s">
        <v>29</v>
      </c>
      <c r="C16" s="9" t="s">
        <v>14</v>
      </c>
      <c r="D16" s="5" t="s">
        <v>23</v>
      </c>
      <c r="E16" s="14"/>
      <c r="F16" s="11" t="e">
        <f>Gewichtung_Smart[[#This Row],[Punkte]]/SUM(Gewichtung_Smart[[#All],[Punkte]])</f>
        <v>#DIV/0!</v>
      </c>
    </row>
    <row r="17" spans="2:6" ht="29.1" x14ac:dyDescent="0.6">
      <c r="B17" s="10" t="s">
        <v>9</v>
      </c>
      <c r="C17" s="9" t="s">
        <v>88</v>
      </c>
      <c r="D17" s="5" t="s">
        <v>26</v>
      </c>
      <c r="E17" s="14"/>
      <c r="F17" s="11" t="e">
        <f>Gewichtung_Smart[[#This Row],[Punkte]]/SUM(Gewichtung_Smart[[#All],[Punkte]])</f>
        <v>#DIV/0!</v>
      </c>
    </row>
    <row r="18" spans="2:6" ht="29.1" x14ac:dyDescent="0.6">
      <c r="B18" s="10" t="s">
        <v>9</v>
      </c>
      <c r="C18" s="9" t="s">
        <v>12</v>
      </c>
      <c r="D18" s="5" t="s">
        <v>21</v>
      </c>
      <c r="E18" s="14"/>
      <c r="F18" s="11" t="e">
        <f>Gewichtung_Smart[[#This Row],[Punkte]]/SUM(Gewichtung_Smart[[#All],[Punkte]])</f>
        <v>#DIV/0!</v>
      </c>
    </row>
    <row r="19" spans="2:6" ht="72.3" x14ac:dyDescent="0.6">
      <c r="B19" s="10" t="s">
        <v>30</v>
      </c>
      <c r="C19" s="9" t="s">
        <v>18</v>
      </c>
      <c r="D19" s="5" t="s">
        <v>28</v>
      </c>
      <c r="E19" s="14"/>
      <c r="F19" s="11" t="e">
        <f>Gewichtung_Smart[[#This Row],[Punkte]]/SUM(Gewichtung_Smart[[#All],[Punkte]])</f>
        <v>#DIV/0!</v>
      </c>
    </row>
    <row r="20" spans="2:6" ht="29.1" x14ac:dyDescent="0.6">
      <c r="B20" s="10" t="s">
        <v>52</v>
      </c>
      <c r="C20" s="9" t="s">
        <v>10</v>
      </c>
      <c r="D20" s="5" t="s">
        <v>19</v>
      </c>
      <c r="E20" s="14">
        <v>0</v>
      </c>
      <c r="F20" s="11" t="e">
        <f>Gewichtung_Smart[[#This Row],[Punkte]]/SUM(Gewichtung_Smart[[#All],[Punkte]])</f>
        <v>#DIV/0!</v>
      </c>
    </row>
    <row r="21" spans="2:6" x14ac:dyDescent="0.6">
      <c r="B21" s="10" t="s">
        <v>52</v>
      </c>
      <c r="C21" s="9" t="s">
        <v>11</v>
      </c>
      <c r="D21" s="5" t="s">
        <v>20</v>
      </c>
      <c r="E21" s="14">
        <v>0</v>
      </c>
      <c r="F21" s="11" t="e">
        <f>Gewichtung_Smart[[#This Row],[Punkte]]/SUM(Gewichtung_Smart[[#All],[Punkte]])</f>
        <v>#DIV/0!</v>
      </c>
    </row>
  </sheetData>
  <mergeCells count="4">
    <mergeCell ref="C6:F6"/>
    <mergeCell ref="C7:F7"/>
    <mergeCell ref="C9:F9"/>
    <mergeCell ref="C8:F8"/>
  </mergeCells>
  <dataValidations count="1">
    <dataValidation type="whole" allowBlank="1" showInputMessage="1" showErrorMessage="1" sqref="E12:E21" xr:uid="{678493C0-A126-4932-A8F1-CEA4A569A499}">
      <formula1>0</formula1>
      <formula2>100</formula2>
    </dataValidation>
  </dataValidations>
  <pageMargins left="0.7" right="0.7" top="0.75" bottom="0.75" header="0.3" footer="0.3"/>
  <pageSetup paperSize="9" orientation="landscape"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EA929-F90A-4C67-86D5-D50C0E5BF0F0}">
  <sheetPr codeName="Tabelle3"/>
  <dimension ref="B2:E13"/>
  <sheetViews>
    <sheetView showGridLines="0" workbookViewId="0">
      <selection activeCell="D14" sqref="D14"/>
    </sheetView>
  </sheetViews>
  <sheetFormatPr baseColWidth="10" defaultRowHeight="15.6" x14ac:dyDescent="0.6"/>
  <cols>
    <col min="1" max="1" width="2.7890625" style="3" customWidth="1"/>
    <col min="2" max="2" width="18.20703125" style="3" customWidth="1"/>
    <col min="3" max="3" width="33.9453125" style="3" customWidth="1"/>
    <col min="4" max="4" width="63.41796875" style="6" customWidth="1"/>
    <col min="5" max="5" width="26.7890625" style="3" bestFit="1" customWidth="1"/>
    <col min="6" max="6" width="2.7890625" style="3" customWidth="1"/>
    <col min="7" max="16384" width="10.9453125" style="3"/>
  </cols>
  <sheetData>
    <row r="2" spans="2:5" ht="20.399999999999999" x14ac:dyDescent="0.75">
      <c r="B2" s="4" t="s">
        <v>38</v>
      </c>
    </row>
    <row r="3" spans="2:5" x14ac:dyDescent="0.6">
      <c r="B3" s="3" t="s">
        <v>39</v>
      </c>
    </row>
    <row r="4" spans="2:5" x14ac:dyDescent="0.6">
      <c r="B4" s="3" t="s">
        <v>40</v>
      </c>
    </row>
    <row r="6" spans="2:5" x14ac:dyDescent="0.6">
      <c r="B6" s="12" t="s">
        <v>4</v>
      </c>
      <c r="C6" s="39" t="s">
        <v>43</v>
      </c>
      <c r="D6" s="39"/>
      <c r="E6" s="39"/>
    </row>
    <row r="7" spans="2:5" ht="15.6" customHeight="1" x14ac:dyDescent="0.6">
      <c r="B7" s="13"/>
      <c r="C7" s="40" t="s">
        <v>51</v>
      </c>
      <c r="D7" s="40"/>
      <c r="E7" s="40"/>
    </row>
    <row r="9" spans="2:5" x14ac:dyDescent="0.6">
      <c r="B9" s="7" t="s">
        <v>41</v>
      </c>
      <c r="C9" s="7" t="s">
        <v>50</v>
      </c>
      <c r="D9" s="15" t="s">
        <v>49</v>
      </c>
      <c r="E9" s="7" t="s">
        <v>42</v>
      </c>
    </row>
    <row r="10" spans="2:5" ht="31.2" x14ac:dyDescent="0.6">
      <c r="B10" s="8" t="s">
        <v>48</v>
      </c>
      <c r="C10" s="9" t="s">
        <v>89</v>
      </c>
      <c r="D10" s="9"/>
      <c r="E10" s="5">
        <v>2023</v>
      </c>
    </row>
    <row r="11" spans="2:5" ht="31.2" x14ac:dyDescent="0.6">
      <c r="B11" s="8" t="s">
        <v>48</v>
      </c>
      <c r="C11" s="9" t="s">
        <v>90</v>
      </c>
      <c r="D11" s="9"/>
      <c r="E11" s="5">
        <v>2023</v>
      </c>
    </row>
    <row r="12" spans="2:5" x14ac:dyDescent="0.6">
      <c r="B12" s="8" t="s">
        <v>47</v>
      </c>
      <c r="C12" s="8" t="s">
        <v>102</v>
      </c>
      <c r="D12" s="8"/>
      <c r="E12" s="6">
        <v>2023</v>
      </c>
    </row>
    <row r="13" spans="2:5" ht="31.2" x14ac:dyDescent="0.6">
      <c r="B13" s="8" t="s">
        <v>46</v>
      </c>
      <c r="C13" s="8" t="s">
        <v>103</v>
      </c>
      <c r="D13" s="8" t="s">
        <v>104</v>
      </c>
      <c r="E13" s="6">
        <v>2023</v>
      </c>
    </row>
  </sheetData>
  <mergeCells count="2">
    <mergeCell ref="C6:E6"/>
    <mergeCell ref="C7:E7"/>
  </mergeCells>
  <pageMargins left="0.7" right="0.7" top="0.78740157499999996" bottom="0.78740157499999996"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8AA4B9DE-022D-4C63-9716-66D23475F984}">
          <x14:formula1>
            <xm:f>'99_Metadaten_Konfig'!$A$4:$A$6</xm:f>
          </x14:formula1>
          <xm:sqref>B10:B13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30067-C0FA-4075-BE04-59ED5CB3DE7F}">
  <sheetPr codeName="Tabelle4"/>
  <dimension ref="B2:N40"/>
  <sheetViews>
    <sheetView showGridLines="0" zoomScaleNormal="100" workbookViewId="0">
      <selection activeCell="B19" sqref="B19"/>
    </sheetView>
  </sheetViews>
  <sheetFormatPr baseColWidth="10" defaultRowHeight="15.6" x14ac:dyDescent="0.6"/>
  <cols>
    <col min="1" max="1" width="2.7890625" style="3" customWidth="1"/>
    <col min="2" max="2" width="19.3671875" style="3" customWidth="1"/>
    <col min="3" max="12" width="20.83984375" style="3" customWidth="1"/>
    <col min="13" max="13" width="3.83984375" style="3" bestFit="1" customWidth="1"/>
    <col min="14" max="16384" width="10.9453125" style="3"/>
  </cols>
  <sheetData>
    <row r="2" spans="2:13" ht="20.399999999999999" x14ac:dyDescent="0.75">
      <c r="B2" s="4" t="s">
        <v>35</v>
      </c>
    </row>
    <row r="3" spans="2:13" ht="10" customHeight="1" x14ac:dyDescent="0.6">
      <c r="B3" s="29" t="s">
        <v>36</v>
      </c>
    </row>
    <row r="4" spans="2:13" ht="10" customHeight="1" x14ac:dyDescent="0.6">
      <c r="B4" s="29" t="s">
        <v>37</v>
      </c>
    </row>
    <row r="5" spans="2:13" ht="10" customHeight="1" x14ac:dyDescent="0.6"/>
    <row r="6" spans="2:13" ht="22.5" customHeight="1" x14ac:dyDescent="0.6">
      <c r="B6" s="27" t="s">
        <v>4</v>
      </c>
      <c r="C6" s="41" t="s">
        <v>106</v>
      </c>
      <c r="D6" s="41"/>
      <c r="E6" s="41"/>
      <c r="F6" s="41"/>
    </row>
    <row r="7" spans="2:13" ht="10" customHeight="1" x14ac:dyDescent="0.6">
      <c r="B7" s="28"/>
      <c r="C7" s="41" t="s">
        <v>107</v>
      </c>
      <c r="D7" s="41"/>
      <c r="E7" s="41"/>
      <c r="F7" s="41"/>
    </row>
    <row r="8" spans="2:13" ht="10" customHeight="1" x14ac:dyDescent="0.6">
      <c r="B8" s="28"/>
      <c r="C8" s="42" t="s">
        <v>108</v>
      </c>
      <c r="D8" s="42"/>
      <c r="E8" s="42"/>
      <c r="F8" s="42"/>
    </row>
    <row r="9" spans="2:13" ht="10" customHeight="1" x14ac:dyDescent="0.6"/>
    <row r="10" spans="2:13" ht="10" customHeight="1" x14ac:dyDescent="0.6">
      <c r="B10" s="16"/>
      <c r="C10" s="43" t="s">
        <v>86</v>
      </c>
      <c r="D10" s="43"/>
      <c r="E10" s="43"/>
      <c r="F10" s="43"/>
      <c r="G10" s="43"/>
      <c r="H10" s="43"/>
      <c r="I10" s="43"/>
      <c r="J10" s="43"/>
      <c r="K10" s="44" t="s">
        <v>87</v>
      </c>
      <c r="L10" s="44"/>
      <c r="M10" s="34"/>
    </row>
    <row r="11" spans="2:13" ht="46.8" x14ac:dyDescent="0.6">
      <c r="B11" s="21" t="s">
        <v>53</v>
      </c>
      <c r="C11" s="22" t="str" cm="1">
        <f t="array" ref="C11:L11">TRANSPOSE(Gewichtung_Smart[Bezeichnung])</f>
        <v>Akzeptanz der erweiterten Stakeholder</v>
      </c>
      <c r="D11" s="22" t="str">
        <v>Einfluss auf Logistikleistung</v>
      </c>
      <c r="E11" s="22" t="str">
        <v>THG-Vermeidungskosten</v>
      </c>
      <c r="F11" s="22" t="str">
        <v>Einfluss auf Verkehrsaufkommen</v>
      </c>
      <c r="G11" s="22" t="str">
        <v>THG-Reduktionspotential</v>
      </c>
      <c r="H11" s="22" t="str">
        <v>Anforderungen an/Akzeptanz durch Mitarbeiter</v>
      </c>
      <c r="I11" s="22" t="str">
        <v>Erfahrung mit der Maßnahme</v>
      </c>
      <c r="J11" s="22" t="str">
        <v>Level an Unsicherheit</v>
      </c>
      <c r="K11" s="30" t="str">
        <v>Einfluss auf Umsetzbarkeit</v>
      </c>
      <c r="L11" s="30" t="str">
        <v>Verfügbarkeit</v>
      </c>
      <c r="M11" s="30"/>
    </row>
    <row r="12" spans="2:13" ht="206.4" x14ac:dyDescent="0.6">
      <c r="B12" s="19" t="s">
        <v>54</v>
      </c>
      <c r="C12" s="18" t="str" cm="1">
        <f t="array" ref="C12:L12">TRANSPOSE(Gewichtung_Smart[Zu beantwortende Frage])</f>
        <v>Wie hoch schätzen Sie die Akzeptanz bzw. den Widerstand erweiterter Interessengruppen (z. B. der Öffentlichkeit, der Anwohner usw.) gegenüber der Durchführung der Maßnahme ein?</v>
      </c>
      <c r="D12" s="18" t="str">
        <v>Wie wirkt sich die Maßnahme auf die Wettbewerbsfähigkeit der Logistikleistung aus, z. B. auf die erforderliche Lieferzeit, die Lieferzuverlässigkeit oder die Flexibilität?</v>
      </c>
      <c r="E12" s="18" t="str">
        <v xml:space="preserve">Wie hoch sind die CO2-Vermeidungskosten, die mit der Umsetzung der Maßnahme verbunden sind, ausgedrückt als spezifische Kosten pro Tonne eingesparter CO2-Emissionen in Euro? Berücksichtigen Sie die TCO/LCC bei der Kostenberechnung. </v>
      </c>
      <c r="F12" s="18" t="str">
        <v>Wie wirkt sich die Maßnahme auf das lokale Verkehrsaufkommen in der Umgebung des betreffenden Standorts aus?</v>
      </c>
      <c r="G12" s="18" t="str">
        <v>Wie viel Prozent der gesamten Scope 1- und Scope 3- der Well-to-Wheel Logistik Emissionen werden durch die Umsetzung der Maßnahme reduziert?</v>
      </c>
      <c r="H12" s="18" t="str">
        <v>Wie wirkt sich die Umsetzung der Maßnahme auf die Anforderungen an die Mitarbeiter aus, z.B. auf die Veränderung der Komplexität?</v>
      </c>
      <c r="I12" s="18" t="str">
        <v>Gibt es bereits Pilotprojekte oder reale Umsetzungen der Maßnahme im Unternehmen oder dessen Umfeld?</v>
      </c>
      <c r="J12" s="18" t="str">
        <v>Wie schätzen Sie den Grad der Unsicherheit bei der Umsetzung der Maßnahme ein (z. B. Normung, vorhersehbare technologische Entwicklungen, politische Entscheidungen usw.)? Eine gute Bewertung bedeutet in diesem Zusammenhang nicht unbedingt einen positiven Ausblick, sondern deutet eher auf ein gewisses Maß an Vorhersehbarkeit der Entwicklung hin.</v>
      </c>
      <c r="K12" s="31" t="str">
        <v>Inwieweit hat das Unternehmen die Möglichkeit und die Macht, die Umsetzung dieser Maßnahme zu beeinflussen?</v>
      </c>
      <c r="L12" s="31" t="str">
        <v>Sind Technologie und Infrastruktur kommerziell verfügbar?</v>
      </c>
      <c r="M12" s="31"/>
    </row>
    <row r="13" spans="2:13" ht="296.7" x14ac:dyDescent="0.6">
      <c r="B13" s="19" t="s">
        <v>56</v>
      </c>
      <c r="C13" s="18" t="s">
        <v>63</v>
      </c>
      <c r="D13" s="18" t="s">
        <v>62</v>
      </c>
      <c r="E13" s="18" t="s">
        <v>61</v>
      </c>
      <c r="F13" s="18" t="s">
        <v>59</v>
      </c>
      <c r="G13" s="18" t="s">
        <v>60</v>
      </c>
      <c r="H13" s="18" t="s">
        <v>59</v>
      </c>
      <c r="I13" s="18" t="s">
        <v>65</v>
      </c>
      <c r="J13" s="18" t="s">
        <v>64</v>
      </c>
      <c r="K13" s="31" t="s">
        <v>57</v>
      </c>
      <c r="L13" s="31" t="s">
        <v>58</v>
      </c>
      <c r="M13" s="31"/>
    </row>
    <row r="14" spans="2:13" x14ac:dyDescent="0.6">
      <c r="B14" s="19" t="s">
        <v>76</v>
      </c>
      <c r="C14" s="18" t="s">
        <v>77</v>
      </c>
      <c r="D14" s="18" t="s">
        <v>77</v>
      </c>
      <c r="E14" s="18" t="s">
        <v>78</v>
      </c>
      <c r="F14" s="18" t="s">
        <v>78</v>
      </c>
      <c r="G14" s="18" t="s">
        <v>77</v>
      </c>
      <c r="H14" s="18" t="s">
        <v>78</v>
      </c>
      <c r="I14" s="18" t="s">
        <v>77</v>
      </c>
      <c r="J14" s="18" t="s">
        <v>78</v>
      </c>
      <c r="K14" s="31" t="s">
        <v>77</v>
      </c>
      <c r="L14" s="31" t="s">
        <v>77</v>
      </c>
      <c r="M14" s="31"/>
    </row>
    <row r="15" spans="2:13" ht="51.6" x14ac:dyDescent="0.6">
      <c r="B15" s="19" t="s">
        <v>66</v>
      </c>
      <c r="C15" s="18" t="s">
        <v>67</v>
      </c>
      <c r="D15" s="18" t="s">
        <v>67</v>
      </c>
      <c r="E15" s="18" t="s">
        <v>68</v>
      </c>
      <c r="F15" s="18" t="s">
        <v>67</v>
      </c>
      <c r="G15" s="18" t="s">
        <v>75</v>
      </c>
      <c r="H15" s="18" t="s">
        <v>67</v>
      </c>
      <c r="I15" s="18" t="s">
        <v>67</v>
      </c>
      <c r="J15" s="18" t="s">
        <v>67</v>
      </c>
      <c r="K15" s="31" t="s">
        <v>67</v>
      </c>
      <c r="L15" s="31" t="s">
        <v>67</v>
      </c>
      <c r="M15" s="31"/>
    </row>
    <row r="16" spans="2:13" x14ac:dyDescent="0.6">
      <c r="B16" s="19" t="s">
        <v>79</v>
      </c>
      <c r="C16" s="18"/>
      <c r="D16" s="18"/>
      <c r="E16" s="18">
        <v>3</v>
      </c>
      <c r="F16" s="18"/>
      <c r="G16" s="18">
        <v>0</v>
      </c>
      <c r="H16" s="18"/>
      <c r="I16" s="18"/>
      <c r="J16" s="18"/>
      <c r="K16" s="31"/>
      <c r="L16" s="31"/>
      <c r="M16" s="31"/>
    </row>
    <row r="17" spans="2:14" x14ac:dyDescent="0.6">
      <c r="B17" s="18" t="s">
        <v>80</v>
      </c>
      <c r="D17" s="18"/>
      <c r="E17" s="23">
        <v>30</v>
      </c>
      <c r="F17" s="18"/>
      <c r="G17" s="23">
        <v>1</v>
      </c>
      <c r="H17" s="18"/>
      <c r="I17" s="18"/>
      <c r="J17" s="18"/>
      <c r="K17" s="31"/>
      <c r="L17" s="31"/>
      <c r="M17" s="31"/>
    </row>
    <row r="18" spans="2:14" x14ac:dyDescent="0.6">
      <c r="B18" s="20" t="s">
        <v>55</v>
      </c>
      <c r="C18" s="17" t="e" cm="1">
        <f t="array" ref="C18:L18">TRANSPOSE(Gewichtung_Smart[Rel. Gewicht])</f>
        <v>#DIV/0!</v>
      </c>
      <c r="D18" s="17" t="e">
        <v>#DIV/0!</v>
      </c>
      <c r="E18" s="17" t="e">
        <v>#DIV/0!</v>
      </c>
      <c r="F18" s="17" t="e">
        <v>#DIV/0!</v>
      </c>
      <c r="G18" s="17" t="e">
        <v>#DIV/0!</v>
      </c>
      <c r="H18" s="17" t="e">
        <v>#DIV/0!</v>
      </c>
      <c r="I18" s="17" t="e">
        <v>#DIV/0!</v>
      </c>
      <c r="J18" s="17" t="e">
        <v>#DIV/0!</v>
      </c>
      <c r="K18" s="32" t="e">
        <v>#DIV/0!</v>
      </c>
      <c r="L18" s="32" t="e">
        <v>#DIV/0!</v>
      </c>
      <c r="M18" s="35"/>
    </row>
    <row r="19" spans="2:14" ht="43.5" customHeight="1" x14ac:dyDescent="0.6">
      <c r="B19" s="6" t="str" cm="1">
        <f t="array" ref="B19:B22">Massnahmen[Titel]</f>
        <v>E-LKW im Nahbereich unter 25km</v>
      </c>
      <c r="K19" s="33"/>
      <c r="L19" s="33"/>
      <c r="M19" s="33" t="e">
        <f>AVERAGE(K19:L19)</f>
        <v>#DIV/0!</v>
      </c>
      <c r="N19" s="26" t="e">
        <f>'99_Preference Index'!$R$3</f>
        <v>#DIV/0!</v>
      </c>
    </row>
    <row r="20" spans="2:14" ht="43.5" customHeight="1" x14ac:dyDescent="0.6">
      <c r="B20" s="6" t="str">
        <v>E-LKW im Nahbereich über 25km</v>
      </c>
      <c r="K20" s="33"/>
      <c r="L20" s="33"/>
      <c r="M20" s="33" t="e">
        <f t="shared" ref="M20:M24" si="0">AVERAGE(K20:L20)</f>
        <v>#DIV/0!</v>
      </c>
      <c r="N20" s="26" t="e">
        <f>'99_Preference Index'!$R$4</f>
        <v>#DIV/0!</v>
      </c>
    </row>
    <row r="21" spans="2:14" ht="43.5" customHeight="1" x14ac:dyDescent="0.6">
      <c r="B21" s="6" t="str">
        <v>Kombinierter Verkehr von A nach B</v>
      </c>
      <c r="K21" s="33"/>
      <c r="L21" s="33"/>
      <c r="M21" s="33" t="e">
        <f t="shared" si="0"/>
        <v>#DIV/0!</v>
      </c>
      <c r="N21" s="26" t="e">
        <f>'99_Preference Index'!$R$5</f>
        <v>#DIV/0!</v>
      </c>
    </row>
    <row r="22" spans="2:14" ht="43.5" customHeight="1" x14ac:dyDescent="0.6">
      <c r="B22" s="6" t="str">
        <v>Transportoptimierter Lieferabruf für Lieferant A und B</v>
      </c>
      <c r="K22" s="33"/>
      <c r="L22" s="33"/>
      <c r="M22" s="33" t="e">
        <f t="shared" si="0"/>
        <v>#DIV/0!</v>
      </c>
      <c r="N22" s="26" t="e">
        <f>'99_Preference Index'!$R$6</f>
        <v>#DIV/0!</v>
      </c>
    </row>
    <row r="23" spans="2:14" ht="42.9" customHeight="1" x14ac:dyDescent="0.6">
      <c r="B23" s="6"/>
      <c r="K23" s="33"/>
      <c r="L23" s="33"/>
      <c r="M23" s="33" t="e">
        <f t="shared" si="0"/>
        <v>#DIV/0!</v>
      </c>
      <c r="N23" s="26" t="e">
        <f>'99_Preference Index'!$R$7</f>
        <v>#DIV/0!</v>
      </c>
    </row>
    <row r="24" spans="2:14" ht="81.599999999999994" customHeight="1" x14ac:dyDescent="0.6">
      <c r="B24" s="6"/>
      <c r="K24" s="33"/>
      <c r="L24" s="33"/>
      <c r="M24" s="33" t="e">
        <f t="shared" si="0"/>
        <v>#DIV/0!</v>
      </c>
      <c r="N24" s="26" t="e">
        <f>'99_Preference Index'!$R$8</f>
        <v>#DIV/0!</v>
      </c>
    </row>
    <row r="25" spans="2:14" x14ac:dyDescent="0.6">
      <c r="N25" s="26"/>
    </row>
    <row r="26" spans="2:14" x14ac:dyDescent="0.6">
      <c r="N26" s="26"/>
    </row>
    <row r="27" spans="2:14" x14ac:dyDescent="0.6">
      <c r="N27" s="26"/>
    </row>
    <row r="28" spans="2:14" x14ac:dyDescent="0.6">
      <c r="N28" s="26"/>
    </row>
    <row r="29" spans="2:14" x14ac:dyDescent="0.6">
      <c r="N29" s="26"/>
    </row>
    <row r="30" spans="2:14" x14ac:dyDescent="0.6">
      <c r="N30" s="26"/>
    </row>
    <row r="31" spans="2:14" x14ac:dyDescent="0.6">
      <c r="N31" s="26"/>
    </row>
    <row r="32" spans="2:14" x14ac:dyDescent="0.6">
      <c r="N32" s="26"/>
    </row>
    <row r="33" spans="14:14" x14ac:dyDescent="0.6">
      <c r="N33" s="26"/>
    </row>
    <row r="34" spans="14:14" x14ac:dyDescent="0.6">
      <c r="N34" s="26"/>
    </row>
    <row r="35" spans="14:14" x14ac:dyDescent="0.6">
      <c r="N35" s="26"/>
    </row>
    <row r="36" spans="14:14" x14ac:dyDescent="0.6">
      <c r="N36" s="26"/>
    </row>
    <row r="37" spans="14:14" x14ac:dyDescent="0.6">
      <c r="N37" s="26"/>
    </row>
    <row r="38" spans="14:14" x14ac:dyDescent="0.6">
      <c r="N38" s="26"/>
    </row>
    <row r="39" spans="14:14" x14ac:dyDescent="0.6">
      <c r="N39" s="26"/>
    </row>
    <row r="40" spans="14:14" x14ac:dyDescent="0.6">
      <c r="N40" s="26"/>
    </row>
  </sheetData>
  <mergeCells count="5">
    <mergeCell ref="C6:F6"/>
    <mergeCell ref="C7:F7"/>
    <mergeCell ref="C8:F8"/>
    <mergeCell ref="C10:J10"/>
    <mergeCell ref="K10:L10"/>
  </mergeCells>
  <conditionalFormatting sqref="N19:N24">
    <cfRule type="colorScale" priority="2">
      <colorScale>
        <cfvo type="min"/>
        <cfvo type="percentile" val="50"/>
        <cfvo type="max"/>
        <color rgb="FFF8696B"/>
        <color rgb="FFFFEB84"/>
        <color rgb="FF63BE7B"/>
      </colorScale>
    </cfRule>
  </conditionalFormatting>
  <conditionalFormatting sqref="N19:N40">
    <cfRule type="colorScale" priority="3">
      <colorScale>
        <cfvo type="min"/>
        <cfvo type="percentile" val="50"/>
        <cfvo type="max"/>
        <color rgb="FFF8696B"/>
        <color rgb="FFFFEB84"/>
        <color rgb="FF63BE7B"/>
      </colorScale>
    </cfRule>
  </conditionalFormatting>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chaltfläche1_Klicken">
                <anchor moveWithCells="1" sizeWithCells="1">
                  <from>
                    <xdr:col>6</xdr:col>
                    <xdr:colOff>1363980</xdr:colOff>
                    <xdr:row>4</xdr:row>
                    <xdr:rowOff>163830</xdr:rowOff>
                  </from>
                  <to>
                    <xdr:col>8</xdr:col>
                    <xdr:colOff>419100</xdr:colOff>
                    <xdr:row>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94F5C-4201-41C8-8881-4DEC44432BF6}">
  <sheetPr codeName="Tabelle7"/>
  <dimension ref="A1:R169"/>
  <sheetViews>
    <sheetView workbookViewId="0">
      <selection activeCell="A2" sqref="A2"/>
    </sheetView>
  </sheetViews>
  <sheetFormatPr baseColWidth="10" defaultRowHeight="14.4" x14ac:dyDescent="0.55000000000000004"/>
  <cols>
    <col min="1" max="1" width="37.68359375" bestFit="1" customWidth="1"/>
    <col min="10" max="10" width="37.68359375" bestFit="1" customWidth="1"/>
  </cols>
  <sheetData>
    <row r="1" spans="1:18" x14ac:dyDescent="0.55000000000000004">
      <c r="A1" t="s">
        <v>17</v>
      </c>
      <c r="J1" t="s">
        <v>81</v>
      </c>
    </row>
    <row r="2" spans="1:18" x14ac:dyDescent="0.55000000000000004">
      <c r="A2" t="e">
        <f>INDEX(Gewichtung_Smart[Rel. Gewicht], MATCH($A$1, Gewichtung_Smart[Bezeichnung], 0))</f>
        <v>#DIV/0!</v>
      </c>
      <c r="C2" t="str" cm="1">
        <f t="array" ref="C2:F2">TRANSPOSE(Massnahmen[Titel])</f>
        <v>E-LKW im Nahbereich unter 25km</v>
      </c>
      <c r="D2" t="str">
        <v>E-LKW im Nahbereich über 25km</v>
      </c>
      <c r="E2" t="str">
        <v>Kombinierter Verkehr von A nach B</v>
      </c>
      <c r="F2" t="str">
        <v>Transportoptimierter Lieferabruf für Lieferant A und B</v>
      </c>
      <c r="K2" t="str" cm="1">
        <f t="array" ref="K2:N2">TRANSPOSE(Massnahmen[Titel])</f>
        <v>E-LKW im Nahbereich unter 25km</v>
      </c>
      <c r="L2" t="str">
        <v>E-LKW im Nahbereich über 25km</v>
      </c>
      <c r="M2" t="str">
        <v>Kombinierter Verkehr von A nach B</v>
      </c>
      <c r="N2" t="str">
        <v>Transportoptimierter Lieferabruf für Lieferant A und B</v>
      </c>
      <c r="Q2" t="s">
        <v>82</v>
      </c>
      <c r="R2" t="s">
        <v>84</v>
      </c>
    </row>
    <row r="3" spans="1:18" x14ac:dyDescent="0.55000000000000004">
      <c r="C3" cm="1">
        <f t="array" ref="C3:H3">TRANSPOSE('3_Evaluierung'!$C$19:$C$24)</f>
        <v>0</v>
      </c>
      <c r="D3">
        <v>0</v>
      </c>
      <c r="E3">
        <v>0</v>
      </c>
      <c r="F3">
        <v>0</v>
      </c>
      <c r="G3">
        <v>0</v>
      </c>
      <c r="H3">
        <v>0</v>
      </c>
      <c r="J3" t="str" cm="1">
        <f t="array" ref="J3:J6">Massnahmen[Titel]</f>
        <v>E-LKW im Nahbereich unter 25km</v>
      </c>
      <c r="K3" t="e">
        <f>+$A$2*$C$11+$A$19*$C$28+$A$36*$C$45+$A$53*$C$62+$A$70*$C$79+$A$87*$C$96+$A$104*$C$113+$A$121*$C$130+$A$138*$C$147+$A$155*$C$164</f>
        <v>#DIV/0!</v>
      </c>
      <c r="L3" t="e">
        <f>+$A$2*$D$11+$A$19*$D$28+$A$36*$D$45+$A$53*$D$62+$A$70*$D$79+$A$87*$D$96+$A$104*$D$113+$A$121*$D$130+$A$138*$D$147+$A$155*$D$164</f>
        <v>#DIV/0!</v>
      </c>
      <c r="M3" t="e">
        <f>+$A$2*$E$11+$A$19*$E$28+$A$36*$E$45+$A$53*$E$62+$A$70*$E$79+$A$87*$E$96+$A$104*$E$113+$A$121*$E$130+$A$138*$E$147+$A$155*$E$164</f>
        <v>#DIV/0!</v>
      </c>
      <c r="N3" t="e">
        <f>+$A$2*$F$11+$A$19*$F$28+$A$36*$F$45+$A$53*$F$62+$A$70*$F$79+$A$87*$F$96+$A$104*$F$113+$A$121*$F$130+$A$138*$F$147+$A$155*$F$164</f>
        <v>#DIV/0!</v>
      </c>
      <c r="O3" t="e">
        <f>+$A$2*$G$11+$A$19*$G$28+$A$36*$G$45+$A$53*$G$62+$A$70*$G$79+$A$87*$G$96+$A$104*$G$113+$A$121*$G$130+$A$138*$G$147+$A$155*$G$164</f>
        <v>#DIV/0!</v>
      </c>
      <c r="P3" t="e">
        <f>+$A$2*$H$11+$A$19*$H$28+$A$36*$H$45+$A$53*$H$62+$A$70*$H$79+$A$87*$H$96+$A$104*$H$113+$A$121*$H$130+$A$138*$H$147+$A$155*$H$164</f>
        <v>#DIV/0!</v>
      </c>
      <c r="Q3" t="e">
        <f>SUM($K$3:$P$3)</f>
        <v>#DIV/0!</v>
      </c>
      <c r="R3" t="e">
        <f>$Q$3-$K$9</f>
        <v>#DIV/0!</v>
      </c>
    </row>
    <row r="4" spans="1:18" x14ac:dyDescent="0.55000000000000004">
      <c r="A4" t="str" cm="1">
        <f t="array" ref="A4:A7">Massnahmen[Titel]</f>
        <v>E-LKW im Nahbereich unter 25km</v>
      </c>
      <c r="B4" cm="1">
        <f t="array" ref="B4:B9">('3_Evaluierung'!$C$19:$C$24)</f>
        <v>0</v>
      </c>
      <c r="C4">
        <f>$B$4-$C$3</f>
        <v>0</v>
      </c>
      <c r="D4">
        <f>$B$4-$D$3</f>
        <v>0</v>
      </c>
      <c r="E4">
        <f>$B$4-$E$3</f>
        <v>0</v>
      </c>
      <c r="F4">
        <f>$B$4-$F$3</f>
        <v>0</v>
      </c>
      <c r="G4">
        <f>$B$4-$G$3</f>
        <v>0</v>
      </c>
      <c r="H4">
        <f>$B$4-$H$3</f>
        <v>0</v>
      </c>
      <c r="J4" t="str">
        <v>E-LKW im Nahbereich über 25km</v>
      </c>
      <c r="K4" t="e">
        <f>+$A$2*$C$12+$A$19*$C$29+$A$36*$C$46+$A$53*$C$63+$A$70*$C$80+$A$87*$C$97+$A$104*$C$114+$A$121*$C$131+$A$138*$C$148+$A$155*$C$165</f>
        <v>#DIV/0!</v>
      </c>
      <c r="L4" t="e">
        <f>+$A$2*$D$12+$A$19*$D$29+$A$36*$D$46+$A$53*$D$63+$A$70*$D$80+$A$87*$D$97+$A$104*$D$114+$A$121*$D$131+$A$138*$D$148+$A$155*$D$165</f>
        <v>#DIV/0!</v>
      </c>
      <c r="M4" t="e">
        <f>+$A$2*$E$12+$A$19*$E$29+$A$36*$E$46+$A$53*$E$63+$A$70*$E$80+$A$87*$E$97+$A$104*$E$114+$A$121*$E$131+$A$138*$E$148+$A$155*$E$165</f>
        <v>#DIV/0!</v>
      </c>
      <c r="N4" t="e">
        <f>+$A$2*$F$12+$A$19*$F$29+$A$36*$F$46+$A$53*$F$63+$A$70*$F$80+$A$87*$F$97+$A$104*$F$114+$A$121*$F$131+$A$138*$F$148+$A$155*$F$165</f>
        <v>#DIV/0!</v>
      </c>
      <c r="O4" t="e">
        <f>+$A$2*$G$12+$A$19*$G$29+$A$36*$G$46+$A$53*$G$63+$A$70*$G$80+$A$87*$G$97+$A$104*$G$114+$A$121*$G$131+$A$138*$G$148+$A$155*$G$165</f>
        <v>#DIV/0!</v>
      </c>
      <c r="P4" t="e">
        <f>+$A$2*$H$12+$A$19*$H$29+$A$36*$H$46+$A$53*$H$63+$A$70*$H$80+$A$87*$H$97+$A$104*$H$114+$A$121*$H$131+$A$138*$H$148+$A$155*$H$165</f>
        <v>#DIV/0!</v>
      </c>
      <c r="Q4" t="e">
        <f>SUM($K$4:$P$4)</f>
        <v>#DIV/0!</v>
      </c>
      <c r="R4" t="e">
        <f>$Q$4-$L$9</f>
        <v>#DIV/0!</v>
      </c>
    </row>
    <row r="5" spans="1:18" x14ac:dyDescent="0.55000000000000004">
      <c r="A5" t="str">
        <v>E-LKW im Nahbereich über 25km</v>
      </c>
      <c r="B5">
        <v>0</v>
      </c>
      <c r="C5">
        <f>$B$5-$C$3</f>
        <v>0</v>
      </c>
      <c r="D5">
        <f>$B$5-$D$3</f>
        <v>0</v>
      </c>
      <c r="E5">
        <f>$B$5-$E$3</f>
        <v>0</v>
      </c>
      <c r="F5">
        <f>$B$5-$F$3</f>
        <v>0</v>
      </c>
      <c r="G5">
        <f>$B$5-$G$3</f>
        <v>0</v>
      </c>
      <c r="H5">
        <f>$B$5-$H$3</f>
        <v>0</v>
      </c>
      <c r="J5" t="str">
        <v>Kombinierter Verkehr von A nach B</v>
      </c>
      <c r="K5" t="e">
        <f>+$A$2*$C$13+$A$19*$C$30+$A$36*$C$47+$A$53*$C$64+$A$70*$C$81+$A$87*$C$98+$A$104*$C$115+$A$121*$C$132+$A$138*$C$149+$A$155*$C$166</f>
        <v>#DIV/0!</v>
      </c>
      <c r="L5" t="e">
        <f>+$A$2*$D$13+$A$19*$D$30+$A$36*$D$47+$A$53*$D$64+$A$70*$D$81+$A$87*$D$98+$A$104*$D$115+$A$121*$D$132+$A$138*$D$149+$A$155*$D$166</f>
        <v>#DIV/0!</v>
      </c>
      <c r="M5" t="e">
        <f>+$A$2*$E$13+$A$19*$E$30+$A$36*$E$47+$A$53*$E$64+$A$70*$E$81+$A$87*$E$98+$A$104*$E$115+$A$121*$E$132+$A$138*$E$149+$A$155*$E$166</f>
        <v>#DIV/0!</v>
      </c>
      <c r="N5" t="e">
        <f>+$A$2*$F$13+$A$19*$F$30+$A$36*$F$47+$A$53*$F$64+$A$70*$F$81+$A$87*$F$98+$A$104*$F$115+$A$121*$F$132+$A$138*$F$149+$A$155*$F$166</f>
        <v>#DIV/0!</v>
      </c>
      <c r="O5" t="e">
        <f>+$A$2*$G$13+$A$19*$G$30+$A$36*$G$47+$A$53*$G$64+$A$70*$G$81+$A$87*$G$98+$A$104*$G$115+$A$121*$G$132+$A$138*$G$149+$A$155*$G$166</f>
        <v>#DIV/0!</v>
      </c>
      <c r="P5" t="e">
        <f>+$A$2*$H$13+$A$19*$H$30+$A$36*$H$47+$A$53*$H$64+$A$70*$H$81+$A$87*$H$98+$A$104*$H$115+$A$121*$H$132+$A$138*$H$149+$A$155*$H$166</f>
        <v>#DIV/0!</v>
      </c>
      <c r="Q5" t="e">
        <f>SUM($K$5:$P$5)</f>
        <v>#DIV/0!</v>
      </c>
      <c r="R5" t="e">
        <f>$Q$5-$M$9</f>
        <v>#DIV/0!</v>
      </c>
    </row>
    <row r="6" spans="1:18" x14ac:dyDescent="0.55000000000000004">
      <c r="A6" t="str">
        <v>Kombinierter Verkehr von A nach B</v>
      </c>
      <c r="B6">
        <v>0</v>
      </c>
      <c r="C6">
        <f>$B$6-$C$3</f>
        <v>0</v>
      </c>
      <c r="D6">
        <f>$B$6-$D$3</f>
        <v>0</v>
      </c>
      <c r="E6">
        <f>$B$6-$E$3</f>
        <v>0</v>
      </c>
      <c r="F6">
        <f>$B$6-$F$3</f>
        <v>0</v>
      </c>
      <c r="G6">
        <f>$B$6-$G$3</f>
        <v>0</v>
      </c>
      <c r="H6">
        <f>$B$6-$H$3</f>
        <v>0</v>
      </c>
      <c r="J6" t="str">
        <v>Transportoptimierter Lieferabruf für Lieferant A und B</v>
      </c>
      <c r="K6" t="e">
        <f>+$A$2*$C$14+$A$19*$C$31+$A$36*$C$48+$A$53*$C$65+$A$70*$C$82+$A$87*$C$99+$A$104*$C$116+$A$121*$C$133+$A$138*$C$150+$A$155*$C$167</f>
        <v>#DIV/0!</v>
      </c>
      <c r="L6" t="e">
        <f>+$A$2*$D$14+$A$19*$D$31+$A$36*$D$48+$A$53*$D$65+$A$70*$D$82+$A$87*$D$99+$A$104*$D$116+$A$121*$D$133+$A$138*$D$150+$A$155*$D$167</f>
        <v>#DIV/0!</v>
      </c>
      <c r="M6" t="e">
        <f>+$A$2*$E$14+$A$19*$E$31+$A$36*$E$48+$A$53*$E$65+$A$70*$E$82+$A$87*$E$99+$A$104*$E$116+$A$121*$E$133+$A$138*$E$150+$A$155*$E$167</f>
        <v>#DIV/0!</v>
      </c>
      <c r="N6" t="e">
        <f>+$A$2*$F$14+$A$19*$F$31+$A$36*$F$48+$A$53*$F$65+$A$70*$F$82+$A$87*$F$99+$A$104*$F$116+$A$121*$F$133+$A$138*$F$150+$A$155*$F$167</f>
        <v>#DIV/0!</v>
      </c>
      <c r="O6" t="e">
        <f>+$A$2*$G$14+$A$19*$G$31+$A$36*$G$48+$A$53*$G$65+$A$70*$G$82+$A$87*$G$99+$A$104*$G$116+$A$121*$G$133+$A$138*$G$150+$A$155*$G$167</f>
        <v>#DIV/0!</v>
      </c>
      <c r="P6" t="e">
        <f>+$A$2*$H$14+$A$19*$H$31+$A$36*$H$48+$A$53*$H$65+$A$70*$H$82+$A$87*$H$99+$A$104*$H$116+$A$121*$H$133+$A$138*$H$150+$A$155*$H$167</f>
        <v>#DIV/0!</v>
      </c>
      <c r="Q6" t="e">
        <f>SUM($K$6:$P$6)</f>
        <v>#DIV/0!</v>
      </c>
      <c r="R6" t="e">
        <f>$Q$6-$N$9</f>
        <v>#DIV/0!</v>
      </c>
    </row>
    <row r="7" spans="1:18" x14ac:dyDescent="0.55000000000000004">
      <c r="A7" t="str">
        <v>Transportoptimierter Lieferabruf für Lieferant A und B</v>
      </c>
      <c r="B7">
        <v>0</v>
      </c>
      <c r="C7">
        <f>$B$7-$C$3</f>
        <v>0</v>
      </c>
      <c r="D7">
        <f>$B$7-$D$3</f>
        <v>0</v>
      </c>
      <c r="E7">
        <f>$B$7-$E$3</f>
        <v>0</v>
      </c>
      <c r="F7">
        <f>$B$7-$F$3</f>
        <v>0</v>
      </c>
      <c r="G7">
        <f>$B$7-$G$3</f>
        <v>0</v>
      </c>
      <c r="H7">
        <f>$B$7-$H$3</f>
        <v>0</v>
      </c>
      <c r="K7" t="e">
        <f>+$A$2*$C$15+$A$19*$C$32+$A$36*$C$49+$A$53*$C$66+$A$70*$C$83+$A$87*$C$100+$A$104*$C$117+$A$121*$C$134+$A$138*$C$151+$A$155*$C$168</f>
        <v>#DIV/0!</v>
      </c>
      <c r="L7" t="e">
        <f>+$A$2*$D$15+$A$19*$D$32+$A$36*$D$49+$A$53*$D$66+$A$70*$D$83+$A$87*$D$100+$A$104*$D$117+$A$121*$D$134+$A$138*$D$151+$A$155*$D$168</f>
        <v>#DIV/0!</v>
      </c>
      <c r="M7" t="e">
        <f>+$A$2*$E$15+$A$19*$E$32+$A$36*$E$49+$A$53*$E$66+$A$70*$E$83+$A$87*$E$100+$A$104*$E$117+$A$121*$E$134+$A$138*$E$151+$A$155*$E$168</f>
        <v>#DIV/0!</v>
      </c>
      <c r="N7" t="e">
        <f>+$A$2*$F$15+$A$19*$F$32+$A$36*$F$49+$A$53*$F$66+$A$70*$F$83+$A$87*$F$100+$A$104*$F$117+$A$121*$F$134+$A$138*$F$151+$A$155*$F$168</f>
        <v>#DIV/0!</v>
      </c>
      <c r="O7" t="e">
        <f>+$A$2*$G$15+$A$19*$G$32+$A$36*$G$49+$A$53*$G$66+$A$70*$G$83+$A$87*$G$100+$A$104*$G$117+$A$121*$G$134+$A$138*$G$151+$A$155*$G$168</f>
        <v>#DIV/0!</v>
      </c>
      <c r="P7" t="e">
        <f>+$A$2*$H$15+$A$19*$H$32+$A$36*$H$49+$A$53*$H$66+$A$70*$H$83+$A$87*$H$100+$A$104*$H$117+$A$121*$H$134+$A$138*$H$151+$A$155*$H$168</f>
        <v>#DIV/0!</v>
      </c>
      <c r="Q7" t="e">
        <f>SUM($K$7:$P$7)</f>
        <v>#DIV/0!</v>
      </c>
      <c r="R7" t="e">
        <f>$Q$7-$O$9</f>
        <v>#DIV/0!</v>
      </c>
    </row>
    <row r="8" spans="1:18" x14ac:dyDescent="0.55000000000000004">
      <c r="B8">
        <v>0</v>
      </c>
      <c r="C8">
        <f>$B$8-$C$3</f>
        <v>0</v>
      </c>
      <c r="D8">
        <f>$B$8-$D$3</f>
        <v>0</v>
      </c>
      <c r="E8">
        <f>$B$8-$E$3</f>
        <v>0</v>
      </c>
      <c r="F8">
        <f>$B$8-$F$3</f>
        <v>0</v>
      </c>
      <c r="G8">
        <f>$B$8-$G$3</f>
        <v>0</v>
      </c>
      <c r="H8">
        <f>$B$8-$H$3</f>
        <v>0</v>
      </c>
      <c r="K8" t="e">
        <f>+$A$2*$C$16+$A$19*$C$33+$A$36*$C$50+$A$53*$C$67+$A$70*$C$84+$A$87*$C$101+$A$104*$C$118+$A$121*$C$135+$A$138*$C$152+$A$155*$C$169</f>
        <v>#DIV/0!</v>
      </c>
      <c r="L8" t="e">
        <f>+$A$2*$D$16+$A$19*$D$33+$A$36*$D$50+$A$53*$D$67+$A$70*$D$84+$A$87*$D$101+$A$104*$D$118+$A$121*$D$135+$A$138*$D$152+$A$155*$D$169</f>
        <v>#DIV/0!</v>
      </c>
      <c r="M8" t="e">
        <f>+$A$2*$E$16+$A$19*$E$33+$A$36*$E$50+$A$53*$E$67+$A$70*$E$84+$A$87*$E$101+$A$104*$E$118+$A$121*$E$135+$A$138*$E$152+$A$155*$E$169</f>
        <v>#DIV/0!</v>
      </c>
      <c r="N8" t="e">
        <f>+$A$2*$F$16+$A$19*$F$33+$A$36*$F$50+$A$53*$F$67+$A$70*$F$84+$A$87*$F$101+$A$104*$F$118+$A$121*$F$135+$A$138*$F$152+$A$155*$F$169</f>
        <v>#DIV/0!</v>
      </c>
      <c r="O8" t="e">
        <f>+$A$2*$G$16+$A$19*$G$33+$A$36*$G$50+$A$53*$G$67+$A$70*$G$84+$A$87*$G$101+$A$104*$G$118+$A$121*$G$135+$A$138*$G$152+$A$155*$G$169</f>
        <v>#DIV/0!</v>
      </c>
      <c r="P8" t="e">
        <f>+$A$2*$H$16+$A$19*$H$33+$A$36*$H$50+$A$53*$H$67+$A$70*$H$84+$A$87*$H$101+$A$104*$H$118+$A$121*$H$135+$A$138*$H$152+$A$155*$H$169</f>
        <v>#DIV/0!</v>
      </c>
      <c r="Q8" t="e">
        <f>SUM($K$8:$P$8)</f>
        <v>#DIV/0!</v>
      </c>
      <c r="R8" t="e">
        <f>$Q$8-$P$9</f>
        <v>#DIV/0!</v>
      </c>
    </row>
    <row r="9" spans="1:18" x14ac:dyDescent="0.55000000000000004">
      <c r="B9">
        <v>0</v>
      </c>
      <c r="C9">
        <f>$B$9-$C$3</f>
        <v>0</v>
      </c>
      <c r="D9">
        <f>$B$9-$D$3</f>
        <v>0</v>
      </c>
      <c r="E9">
        <f>$B$9-$E$3</f>
        <v>0</v>
      </c>
      <c r="F9">
        <f>$B$9-$F$3</f>
        <v>0</v>
      </c>
      <c r="G9">
        <f>$B$9-$G$3</f>
        <v>0</v>
      </c>
      <c r="H9">
        <f>$B$9-$H$3</f>
        <v>0</v>
      </c>
      <c r="J9" t="s">
        <v>83</v>
      </c>
      <c r="K9" t="e">
        <f>SUM($K$3:$K$8)</f>
        <v>#DIV/0!</v>
      </c>
      <c r="L9" t="e">
        <f>SUM($L$3:$L$8)</f>
        <v>#DIV/0!</v>
      </c>
      <c r="M9" t="e">
        <f>SUM($M$3:$M$8)</f>
        <v>#DIV/0!</v>
      </c>
      <c r="N9" t="e">
        <f>SUM($N$3:$N$8)</f>
        <v>#DIV/0!</v>
      </c>
      <c r="O9" t="e">
        <f>SUM($O$3:$O$8)</f>
        <v>#DIV/0!</v>
      </c>
      <c r="P9" t="e">
        <f>SUM($P$3:$P$8)</f>
        <v>#DIV/0!</v>
      </c>
    </row>
    <row r="11" spans="1:18" x14ac:dyDescent="0.55000000000000004">
      <c r="A11" t="str" cm="1">
        <f t="array" ref="A11:A14">Massnahmen[Titel]</f>
        <v>E-LKW im Nahbereich unter 25km</v>
      </c>
      <c r="C11">
        <f>IF($C$4&gt;=2,1,IF($C$4&gt;=1,0.5,0))</f>
        <v>0</v>
      </c>
      <c r="D11">
        <f>IF($D$4&gt;=2,1,IF($D$4&gt;=1,0.5,0))</f>
        <v>0</v>
      </c>
      <c r="E11">
        <f>IF($E$4&gt;=2,1,IF($E$4&gt;=1,0.5,0))</f>
        <v>0</v>
      </c>
      <c r="F11">
        <f>IF($F$4&gt;=2,1,IF($F$4&gt;=1,0.5,0))</f>
        <v>0</v>
      </c>
      <c r="G11">
        <f>IF($G$4&gt;=2,1,IF($G$4&gt;=1,0.5,0))</f>
        <v>0</v>
      </c>
      <c r="H11">
        <f>IF($H$4&gt;=2,1,IF($H$4&gt;=1,0.5,0))</f>
        <v>0</v>
      </c>
    </row>
    <row r="12" spans="1:18" x14ac:dyDescent="0.55000000000000004">
      <c r="A12" t="str">
        <v>E-LKW im Nahbereich über 25km</v>
      </c>
      <c r="C12">
        <f>IF($C$5&gt;=2,1,IF($C$5&gt;=1,0.5,0))</f>
        <v>0</v>
      </c>
      <c r="D12">
        <f>IF($D$5&gt;=2,1,IF($D$5&gt;=1,0.5,0))</f>
        <v>0</v>
      </c>
      <c r="E12">
        <f>IF($E$5&gt;=2,1,IF($E$5&gt;=1,0.5,0))</f>
        <v>0</v>
      </c>
      <c r="F12">
        <f>IF($F$5&gt;=2,1,IF($F$5&gt;=1,0.5,0))</f>
        <v>0</v>
      </c>
      <c r="G12">
        <f>IF($G$5&gt;=2,1,IF($G$5&gt;=1,0.5,0))</f>
        <v>0</v>
      </c>
      <c r="H12">
        <f>IF($H$5&gt;=2,1,IF($H$5&gt;=1,0.5,0))</f>
        <v>0</v>
      </c>
    </row>
    <row r="13" spans="1:18" x14ac:dyDescent="0.55000000000000004">
      <c r="A13" t="str">
        <v>Kombinierter Verkehr von A nach B</v>
      </c>
      <c r="C13">
        <f>IF($C$6&gt;=2,1,IF($C$6&gt;=1,0.5,0))</f>
        <v>0</v>
      </c>
      <c r="D13">
        <f>IF($D$6&gt;=2,1,IF($D$6&gt;=1,0.5,0))</f>
        <v>0</v>
      </c>
      <c r="E13">
        <f>IF($E$6&gt;=2,1,IF($E$6&gt;=1,0.5,0))</f>
        <v>0</v>
      </c>
      <c r="F13">
        <f>IF($F$6&gt;=2,1,IF($F$6&gt;=1,0.5,0))</f>
        <v>0</v>
      </c>
      <c r="G13">
        <f>IF($G$6&gt;=2,1,IF($G$6&gt;=1,0.5,0))</f>
        <v>0</v>
      </c>
      <c r="H13">
        <f>IF($H$6&gt;=2,1,IF($H$6&gt;=1,0.5,0))</f>
        <v>0</v>
      </c>
    </row>
    <row r="14" spans="1:18" x14ac:dyDescent="0.55000000000000004">
      <c r="A14" t="str">
        <v>Transportoptimierter Lieferabruf für Lieferant A und B</v>
      </c>
      <c r="C14">
        <f>IF($C$7&gt;=2,1,IF($C$7&gt;=1,0.5,0))</f>
        <v>0</v>
      </c>
      <c r="D14">
        <f>IF($D$7&gt;=2,1,IF($D$7&gt;=1,0.5,0))</f>
        <v>0</v>
      </c>
      <c r="E14">
        <f>IF($E$7&gt;=2,1,IF($E$7&gt;=1,0.5,0))</f>
        <v>0</v>
      </c>
      <c r="F14">
        <f>IF($F$7&gt;=2,1,IF($F$7&gt;=1,0.5,0))</f>
        <v>0</v>
      </c>
      <c r="G14">
        <f>IF($G$7&gt;=2,1,IF($G$7&gt;=1,0.5,0))</f>
        <v>0</v>
      </c>
      <c r="H14">
        <f>IF($H$7&gt;=2,1,IF($H$7&gt;=1,0.5,0))</f>
        <v>0</v>
      </c>
    </row>
    <row r="15" spans="1:18" x14ac:dyDescent="0.55000000000000004">
      <c r="C15">
        <f>IF($C$8&gt;=2,1,IF($C$8&gt;=1,0.5,0))</f>
        <v>0</v>
      </c>
      <c r="D15">
        <f>IF($D$8&gt;=2,1,IF($D$8&gt;=1,0.5,0))</f>
        <v>0</v>
      </c>
      <c r="E15">
        <f>IF($E$8&gt;=2,1,IF($E$8&gt;=1,0.5,0))</f>
        <v>0</v>
      </c>
      <c r="F15">
        <f>IF($F$8&gt;=2,1,IF($F$8&gt;=1,0.5,0))</f>
        <v>0</v>
      </c>
      <c r="G15">
        <f>IF($G$8&gt;=2,1,IF($G$8&gt;=1,0.5,0))</f>
        <v>0</v>
      </c>
      <c r="H15">
        <f>IF($H$8&gt;=2,1,IF($H$8&gt;=1,0.5,0))</f>
        <v>0</v>
      </c>
    </row>
    <row r="16" spans="1:18" x14ac:dyDescent="0.55000000000000004">
      <c r="C16">
        <f>IF($C$9&gt;=2,1,IF($C$9&gt;=1,0.5,0))</f>
        <v>0</v>
      </c>
      <c r="D16">
        <f>IF($D$9&gt;=2,1,IF($D$9&gt;=1,0.5,0))</f>
        <v>0</v>
      </c>
      <c r="E16">
        <f>IF($E$9&gt;=2,1,IF($E$9&gt;=1,0.5,0))</f>
        <v>0</v>
      </c>
      <c r="F16">
        <f>IF($F$9&gt;=2,1,IF($F$9&gt;=1,0.5,0))</f>
        <v>0</v>
      </c>
      <c r="G16">
        <f>IF($G$9&gt;=2,1,IF($G$9&gt;=1,0.5,0))</f>
        <v>0</v>
      </c>
      <c r="H16">
        <f>IF($H$9&gt;=2,1,IF($H$9&gt;=1,0.5,0))</f>
        <v>0</v>
      </c>
    </row>
    <row r="18" spans="1:8" x14ac:dyDescent="0.55000000000000004">
      <c r="A18" t="s">
        <v>16</v>
      </c>
    </row>
    <row r="19" spans="1:8" x14ac:dyDescent="0.55000000000000004">
      <c r="A19" t="e">
        <f>INDEX(Gewichtung_Smart[Rel. Gewicht], MATCH($A$18, Gewichtung_Smart[Bezeichnung], 0))</f>
        <v>#DIV/0!</v>
      </c>
      <c r="C19" t="str" cm="1">
        <f t="array" ref="C19:F19">TRANSPOSE(Massnahmen[Titel])</f>
        <v>E-LKW im Nahbereich unter 25km</v>
      </c>
      <c r="D19" t="str">
        <v>E-LKW im Nahbereich über 25km</v>
      </c>
      <c r="E19" t="str">
        <v>Kombinierter Verkehr von A nach B</v>
      </c>
      <c r="F19" t="str">
        <v>Transportoptimierter Lieferabruf für Lieferant A und B</v>
      </c>
    </row>
    <row r="20" spans="1:8" x14ac:dyDescent="0.55000000000000004">
      <c r="C20" cm="1">
        <f t="array" ref="C20:H20">TRANSPOSE('3_Evaluierung'!$D$19:$D$24)</f>
        <v>0</v>
      </c>
      <c r="D20">
        <v>0</v>
      </c>
      <c r="E20">
        <v>0</v>
      </c>
      <c r="F20">
        <v>0</v>
      </c>
      <c r="G20">
        <v>0</v>
      </c>
      <c r="H20">
        <v>0</v>
      </c>
    </row>
    <row r="21" spans="1:8" x14ac:dyDescent="0.55000000000000004">
      <c r="A21" t="str" cm="1">
        <f t="array" ref="A21:A24">Massnahmen[Titel]</f>
        <v>E-LKW im Nahbereich unter 25km</v>
      </c>
      <c r="B21" cm="1">
        <f t="array" ref="B21:B26">('3_Evaluierung'!$D$19:$D$24)</f>
        <v>0</v>
      </c>
      <c r="C21">
        <f>$B$21-$C$20</f>
        <v>0</v>
      </c>
      <c r="D21">
        <f>$B$21-$D$20</f>
        <v>0</v>
      </c>
      <c r="E21">
        <f>$B$21-$E$20</f>
        <v>0</v>
      </c>
      <c r="F21">
        <f>$B$21-$F$20</f>
        <v>0</v>
      </c>
      <c r="G21">
        <f>$B$21-$G$20</f>
        <v>0</v>
      </c>
      <c r="H21">
        <f>$B$21-$H$20</f>
        <v>0</v>
      </c>
    </row>
    <row r="22" spans="1:8" x14ac:dyDescent="0.55000000000000004">
      <c r="A22" t="str">
        <v>E-LKW im Nahbereich über 25km</v>
      </c>
      <c r="B22">
        <v>0</v>
      </c>
      <c r="C22">
        <f>$B$22-$C$20</f>
        <v>0</v>
      </c>
      <c r="D22">
        <f>$B$22-$D$20</f>
        <v>0</v>
      </c>
      <c r="E22">
        <f>$B$22-$E$20</f>
        <v>0</v>
      </c>
      <c r="F22">
        <f>$B$22-$F$20</f>
        <v>0</v>
      </c>
      <c r="G22">
        <f>$B$22-$G$20</f>
        <v>0</v>
      </c>
      <c r="H22">
        <f>$B$22-$H$20</f>
        <v>0</v>
      </c>
    </row>
    <row r="23" spans="1:8" x14ac:dyDescent="0.55000000000000004">
      <c r="A23" t="str">
        <v>Kombinierter Verkehr von A nach B</v>
      </c>
      <c r="B23">
        <v>0</v>
      </c>
      <c r="C23">
        <f>$B$23-$C$20</f>
        <v>0</v>
      </c>
      <c r="D23">
        <f>$B$23-$D$20</f>
        <v>0</v>
      </c>
      <c r="E23">
        <f>$B$23-$E$20</f>
        <v>0</v>
      </c>
      <c r="F23">
        <f>$B$23-$F$20</f>
        <v>0</v>
      </c>
      <c r="G23">
        <f>$B$23-$G$20</f>
        <v>0</v>
      </c>
      <c r="H23">
        <f>$B$23-$H$20</f>
        <v>0</v>
      </c>
    </row>
    <row r="24" spans="1:8" x14ac:dyDescent="0.55000000000000004">
      <c r="A24" t="str">
        <v>Transportoptimierter Lieferabruf für Lieferant A und B</v>
      </c>
      <c r="B24">
        <v>0</v>
      </c>
      <c r="C24">
        <f>$B$24-$C$20</f>
        <v>0</v>
      </c>
      <c r="D24">
        <f>$B$24-$D$20</f>
        <v>0</v>
      </c>
      <c r="E24">
        <f>$B$24-$E$20</f>
        <v>0</v>
      </c>
      <c r="F24">
        <f>$B$24-$F$20</f>
        <v>0</v>
      </c>
      <c r="G24">
        <f>$B$24-$G$20</f>
        <v>0</v>
      </c>
      <c r="H24">
        <f>$B$24-$H$20</f>
        <v>0</v>
      </c>
    </row>
    <row r="25" spans="1:8" x14ac:dyDescent="0.55000000000000004">
      <c r="B25">
        <v>0</v>
      </c>
      <c r="C25">
        <f>$B$25-$C$20</f>
        <v>0</v>
      </c>
      <c r="D25">
        <f>$B$25-$D$20</f>
        <v>0</v>
      </c>
      <c r="E25">
        <f>$B$25-$E$20</f>
        <v>0</v>
      </c>
      <c r="F25">
        <f>$B$25-$F$20</f>
        <v>0</v>
      </c>
      <c r="G25">
        <f>$B$25-$G$20</f>
        <v>0</v>
      </c>
      <c r="H25">
        <f>$B$25-$H$20</f>
        <v>0</v>
      </c>
    </row>
    <row r="26" spans="1:8" x14ac:dyDescent="0.55000000000000004">
      <c r="B26">
        <v>0</v>
      </c>
      <c r="C26">
        <f>$B$26-$C$20</f>
        <v>0</v>
      </c>
      <c r="D26">
        <f>$B$26-$D$20</f>
        <v>0</v>
      </c>
      <c r="E26">
        <f>$B$26-$E$20</f>
        <v>0</v>
      </c>
      <c r="F26">
        <f>$B$26-$F$20</f>
        <v>0</v>
      </c>
      <c r="G26">
        <f>$B$26-$G$20</f>
        <v>0</v>
      </c>
      <c r="H26">
        <f>$B$26-$H$20</f>
        <v>0</v>
      </c>
    </row>
    <row r="28" spans="1:8" x14ac:dyDescent="0.55000000000000004">
      <c r="A28" t="str" cm="1">
        <f t="array" ref="A28:A31">Massnahmen[Titel]</f>
        <v>E-LKW im Nahbereich unter 25km</v>
      </c>
      <c r="C28">
        <f>IF($C$21&gt;=2,1,IF($C$21&gt;=1,0.5,0))</f>
        <v>0</v>
      </c>
      <c r="D28">
        <f>IF($D$21&gt;=2,1,IF($D$21&gt;=1,0.5,0))</f>
        <v>0</v>
      </c>
      <c r="E28">
        <f>IF($E$21&gt;=2,1,IF($E$21&gt;=1,0.5,0))</f>
        <v>0</v>
      </c>
      <c r="F28">
        <f>IF($F$21&gt;=2,1,IF($F$21&gt;=1,0.5,0))</f>
        <v>0</v>
      </c>
      <c r="G28">
        <f>IF($G$21&gt;=2,1,IF($G$21&gt;=1,0.5,0))</f>
        <v>0</v>
      </c>
      <c r="H28">
        <f>IF($H$21&gt;=2,1,IF($H$21&gt;=1,0.5,0))</f>
        <v>0</v>
      </c>
    </row>
    <row r="29" spans="1:8" x14ac:dyDescent="0.55000000000000004">
      <c r="A29" t="str">
        <v>E-LKW im Nahbereich über 25km</v>
      </c>
      <c r="C29">
        <f>IF($C$22&gt;=2,1,IF($C$22&gt;=1,0.5,0))</f>
        <v>0</v>
      </c>
      <c r="D29">
        <f>IF($D$22&gt;=2,1,IF($D$22&gt;=1,0.5,0))</f>
        <v>0</v>
      </c>
      <c r="E29">
        <f>IF($E$22&gt;=2,1,IF($E$22&gt;=1,0.5,0))</f>
        <v>0</v>
      </c>
      <c r="F29">
        <f>IF($F$22&gt;=2,1,IF($F$22&gt;=1,0.5,0))</f>
        <v>0</v>
      </c>
      <c r="G29">
        <f>IF($G$22&gt;=2,1,IF($G$22&gt;=1,0.5,0))</f>
        <v>0</v>
      </c>
      <c r="H29">
        <f>IF($H$22&gt;=2,1,IF($H$22&gt;=1,0.5,0))</f>
        <v>0</v>
      </c>
    </row>
    <row r="30" spans="1:8" x14ac:dyDescent="0.55000000000000004">
      <c r="A30" t="str">
        <v>Kombinierter Verkehr von A nach B</v>
      </c>
      <c r="C30">
        <f>IF($C$23&gt;=2,1,IF($C$23&gt;=1,0.5,0))</f>
        <v>0</v>
      </c>
      <c r="D30">
        <f>IF($D$23&gt;=2,1,IF($D$23&gt;=1,0.5,0))</f>
        <v>0</v>
      </c>
      <c r="E30">
        <f>IF($E$23&gt;=2,1,IF($E$23&gt;=1,0.5,0))</f>
        <v>0</v>
      </c>
      <c r="F30">
        <f>IF($F$23&gt;=2,1,IF($F$23&gt;=1,0.5,0))</f>
        <v>0</v>
      </c>
      <c r="G30">
        <f>IF($G$23&gt;=2,1,IF($G$23&gt;=1,0.5,0))</f>
        <v>0</v>
      </c>
      <c r="H30">
        <f>IF($H$23&gt;=2,1,IF($H$23&gt;=1,0.5,0))</f>
        <v>0</v>
      </c>
    </row>
    <row r="31" spans="1:8" x14ac:dyDescent="0.55000000000000004">
      <c r="A31" t="str">
        <v>Transportoptimierter Lieferabruf für Lieferant A und B</v>
      </c>
      <c r="C31">
        <f>IF($C$24&gt;=2,1,IF($C$24&gt;=1,0.5,0))</f>
        <v>0</v>
      </c>
      <c r="D31">
        <f>IF($D$24&gt;=2,1,IF($D$24&gt;=1,0.5,0))</f>
        <v>0</v>
      </c>
      <c r="E31">
        <f>IF($E$24&gt;=2,1,IF($E$24&gt;=1,0.5,0))</f>
        <v>0</v>
      </c>
      <c r="F31">
        <f>IF($F$24&gt;=2,1,IF($F$24&gt;=1,0.5,0))</f>
        <v>0</v>
      </c>
      <c r="G31">
        <f>IF($G$24&gt;=2,1,IF($G$24&gt;=1,0.5,0))</f>
        <v>0</v>
      </c>
      <c r="H31">
        <f>IF($H$24&gt;=2,1,IF($H$24&gt;=1,0.5,0))</f>
        <v>0</v>
      </c>
    </row>
    <row r="32" spans="1:8" x14ac:dyDescent="0.55000000000000004">
      <c r="C32">
        <f>IF($C$25&gt;=2,1,IF($C$25&gt;=1,0.5,0))</f>
        <v>0</v>
      </c>
      <c r="D32">
        <f>IF($D$25&gt;=2,1,IF($D$25&gt;=1,0.5,0))</f>
        <v>0</v>
      </c>
      <c r="E32">
        <f>IF($E$25&gt;=2,1,IF($E$25&gt;=1,0.5,0))</f>
        <v>0</v>
      </c>
      <c r="F32">
        <f>IF($F$25&gt;=2,1,IF($F$25&gt;=1,0.5,0))</f>
        <v>0</v>
      </c>
      <c r="G32">
        <f>IF($G$25&gt;=2,1,IF($G$25&gt;=1,0.5,0))</f>
        <v>0</v>
      </c>
      <c r="H32">
        <f>IF($H$25&gt;=2,1,IF($H$25&gt;=1,0.5,0))</f>
        <v>0</v>
      </c>
    </row>
    <row r="33" spans="1:8" x14ac:dyDescent="0.55000000000000004">
      <c r="C33">
        <f>IF($C$26&gt;=2,1,IF($C$26&gt;=1,0.5,0))</f>
        <v>0</v>
      </c>
      <c r="D33">
        <f>IF($D$26&gt;=2,1,IF($D$26&gt;=1,0.5,0))</f>
        <v>0</v>
      </c>
      <c r="E33">
        <f>IF($E$26&gt;=2,1,IF($E$26&gt;=1,0.5,0))</f>
        <v>0</v>
      </c>
      <c r="F33">
        <f>IF($F$26&gt;=2,1,IF($F$26&gt;=1,0.5,0))</f>
        <v>0</v>
      </c>
      <c r="G33">
        <f>IF($G$26&gt;=2,1,IF($G$26&gt;=1,0.5,0))</f>
        <v>0</v>
      </c>
      <c r="H33">
        <f>IF($H$26&gt;=2,1,IF($H$26&gt;=1,0.5,0))</f>
        <v>0</v>
      </c>
    </row>
    <row r="35" spans="1:8" x14ac:dyDescent="0.55000000000000004">
      <c r="A35" t="s">
        <v>15</v>
      </c>
    </row>
    <row r="36" spans="1:8" x14ac:dyDescent="0.55000000000000004">
      <c r="A36" t="e">
        <f>INDEX(Gewichtung_Smart[Rel. Gewicht], MATCH($A$35, Gewichtung_Smart[Bezeichnung], 0))</f>
        <v>#DIV/0!</v>
      </c>
      <c r="C36" t="str" cm="1">
        <f t="array" ref="C36:F36">TRANSPOSE(Massnahmen[Titel])</f>
        <v>E-LKW im Nahbereich unter 25km</v>
      </c>
      <c r="D36" t="str">
        <v>E-LKW im Nahbereich über 25km</v>
      </c>
      <c r="E36" t="str">
        <v>Kombinierter Verkehr von A nach B</v>
      </c>
      <c r="F36" t="str">
        <v>Transportoptimierter Lieferabruf für Lieferant A und B</v>
      </c>
    </row>
    <row r="37" spans="1:8" x14ac:dyDescent="0.55000000000000004">
      <c r="C37" cm="1">
        <f t="array" ref="C37:H37">TRANSPOSE('3_Evaluierung'!$E$19:$E$24)</f>
        <v>0</v>
      </c>
      <c r="D37">
        <v>0</v>
      </c>
      <c r="E37">
        <v>0</v>
      </c>
      <c r="F37">
        <v>0</v>
      </c>
      <c r="G37">
        <v>0</v>
      </c>
      <c r="H37">
        <v>0</v>
      </c>
    </row>
    <row r="38" spans="1:8" x14ac:dyDescent="0.55000000000000004">
      <c r="A38" t="str" cm="1">
        <f t="array" ref="A38:A41">Massnahmen[Titel]</f>
        <v>E-LKW im Nahbereich unter 25km</v>
      </c>
      <c r="B38" cm="1">
        <f t="array" ref="B38:B43">('3_Evaluierung'!$E$19:$E$24)</f>
        <v>0</v>
      </c>
      <c r="C38">
        <f>-1*($B$38-$C$37)</f>
        <v>0</v>
      </c>
      <c r="D38">
        <f>-1*($B$38-$D$37)</f>
        <v>0</v>
      </c>
      <c r="E38">
        <f>-1*($B$38-$E$37)</f>
        <v>0</v>
      </c>
      <c r="F38">
        <f>-1*($B$38-$F$37)</f>
        <v>0</v>
      </c>
      <c r="G38">
        <f>-1*($B$38-$G$37)</f>
        <v>0</v>
      </c>
      <c r="H38">
        <f>-1*($B$38-$H$37)</f>
        <v>0</v>
      </c>
    </row>
    <row r="39" spans="1:8" x14ac:dyDescent="0.55000000000000004">
      <c r="A39" t="str">
        <v>E-LKW im Nahbereich über 25km</v>
      </c>
      <c r="B39">
        <v>0</v>
      </c>
      <c r="C39">
        <f>-1*($B$39-$C$37)</f>
        <v>0</v>
      </c>
      <c r="D39">
        <f>-1*($B$39-$D$37)</f>
        <v>0</v>
      </c>
      <c r="E39">
        <f>-1*($B$39-$E$37)</f>
        <v>0</v>
      </c>
      <c r="F39">
        <f>-1*($B$39-$F$37)</f>
        <v>0</v>
      </c>
      <c r="G39">
        <f>-1*($B$39-$G$37)</f>
        <v>0</v>
      </c>
      <c r="H39">
        <f>-1*($B$39-$H$37)</f>
        <v>0</v>
      </c>
    </row>
    <row r="40" spans="1:8" x14ac:dyDescent="0.55000000000000004">
      <c r="A40" t="str">
        <v>Kombinierter Verkehr von A nach B</v>
      </c>
      <c r="B40">
        <v>0</v>
      </c>
      <c r="C40">
        <f>-1*($B$40-$C$37)</f>
        <v>0</v>
      </c>
      <c r="D40">
        <f>-1*($B$40-$D$37)</f>
        <v>0</v>
      </c>
      <c r="E40">
        <f>-1*($B$40-$E$37)</f>
        <v>0</v>
      </c>
      <c r="F40">
        <f>-1*($B$40-$F$37)</f>
        <v>0</v>
      </c>
      <c r="G40">
        <f>-1*($B$40-$G$37)</f>
        <v>0</v>
      </c>
      <c r="H40">
        <f>-1*($B$40-$H$37)</f>
        <v>0</v>
      </c>
    </row>
    <row r="41" spans="1:8" x14ac:dyDescent="0.55000000000000004">
      <c r="A41" t="str">
        <v>Transportoptimierter Lieferabruf für Lieferant A und B</v>
      </c>
      <c r="B41">
        <v>0</v>
      </c>
      <c r="C41">
        <f>-1*($B$41-$C$37)</f>
        <v>0</v>
      </c>
      <c r="D41">
        <f>-1*($B$41-$D$37)</f>
        <v>0</v>
      </c>
      <c r="E41">
        <f>-1*($B$41-$E$37)</f>
        <v>0</v>
      </c>
      <c r="F41">
        <f>-1*($B$41-$F$37)</f>
        <v>0</v>
      </c>
      <c r="G41">
        <f>-1*($B$41-$G$37)</f>
        <v>0</v>
      </c>
      <c r="H41">
        <f>-1*($B$41-$H$37)</f>
        <v>0</v>
      </c>
    </row>
    <row r="42" spans="1:8" x14ac:dyDescent="0.55000000000000004">
      <c r="B42">
        <v>0</v>
      </c>
      <c r="C42">
        <f>-1*($B$42-$C$37)</f>
        <v>0</v>
      </c>
      <c r="D42">
        <f>-1*($B$42-$D$37)</f>
        <v>0</v>
      </c>
      <c r="E42">
        <f>-1*($B$42-$E$37)</f>
        <v>0</v>
      </c>
      <c r="F42">
        <f>-1*($B$42-$F$37)</f>
        <v>0</v>
      </c>
      <c r="G42">
        <f>-1*($B$42-$G$37)</f>
        <v>0</v>
      </c>
      <c r="H42">
        <f>-1*($B$42-$H$37)</f>
        <v>0</v>
      </c>
    </row>
    <row r="43" spans="1:8" x14ac:dyDescent="0.55000000000000004">
      <c r="B43">
        <v>0</v>
      </c>
      <c r="C43">
        <f>-1*($B$43-$C$37)</f>
        <v>0</v>
      </c>
      <c r="D43">
        <f>-1*($B$43-$D$37)</f>
        <v>0</v>
      </c>
      <c r="E43">
        <f>-1*($B$43-$E$37)</f>
        <v>0</v>
      </c>
      <c r="F43">
        <f>-1*($B$43-$F$37)</f>
        <v>0</v>
      </c>
      <c r="G43">
        <f>-1*($B$43-$G$37)</f>
        <v>0</v>
      </c>
      <c r="H43">
        <f>-1*($B$43-$H$37)</f>
        <v>0</v>
      </c>
    </row>
    <row r="45" spans="1:8" x14ac:dyDescent="0.55000000000000004">
      <c r="A45" t="str" cm="1">
        <f t="array" ref="A45:A48">Massnahmen[Titel]</f>
        <v>E-LKW im Nahbereich unter 25km</v>
      </c>
      <c r="C45">
        <f>IF($C$38&gt;='3_Evaluierung'!$E$17,1,IF($C$38&gt;='3_Evaluierung'!$E$16,1/('3_Evaluierung'!$E$17-'3_Evaluierung'!$E$16)*($C$38-'3_Evaluierung'!$E$16),0))</f>
        <v>0</v>
      </c>
      <c r="D45">
        <f>IF($D$38&gt;='3_Evaluierung'!$E$17,1,IF($D$38&gt;='3_Evaluierung'!$E$16,1/('3_Evaluierung'!$E$17-'3_Evaluierung'!$E$16)*($D$38-'3_Evaluierung'!$E$16),0))</f>
        <v>0</v>
      </c>
      <c r="E45">
        <f>IF($E$38&gt;='3_Evaluierung'!$E$17,1,IF($E$38&gt;='3_Evaluierung'!$E$16,1/('3_Evaluierung'!$E$17-'3_Evaluierung'!$E$16)*($E$38-'3_Evaluierung'!$E$16),0))</f>
        <v>0</v>
      </c>
      <c r="F45">
        <f>IF($F$38&gt;='3_Evaluierung'!$E$17,1,IF($F$38&gt;='3_Evaluierung'!$E$16,1/('3_Evaluierung'!$E$17-'3_Evaluierung'!$E$16)*($F$38-'3_Evaluierung'!$E$16),0))</f>
        <v>0</v>
      </c>
      <c r="G45">
        <f>IF($G$38&gt;='3_Evaluierung'!$E$17,1,IF($G$38&gt;='3_Evaluierung'!$E$16,1/('3_Evaluierung'!$E$17-'3_Evaluierung'!$E$16)*($G$38-'3_Evaluierung'!$E$16),0))</f>
        <v>0</v>
      </c>
      <c r="H45">
        <f>IF($H$38&gt;='3_Evaluierung'!$E$17,1,IF($H$38&gt;='3_Evaluierung'!$E$16,1/('3_Evaluierung'!$E$17-'3_Evaluierung'!$E$16)*($H$38-'3_Evaluierung'!$E$16),0))</f>
        <v>0</v>
      </c>
    </row>
    <row r="46" spans="1:8" x14ac:dyDescent="0.55000000000000004">
      <c r="A46" t="str">
        <v>E-LKW im Nahbereich über 25km</v>
      </c>
      <c r="C46">
        <f>IF($C$39&gt;='3_Evaluierung'!$E$17,1,IF($C$39&gt;='3_Evaluierung'!$E$16,1/('3_Evaluierung'!$E$17-'3_Evaluierung'!$E$16)*($C$39-'3_Evaluierung'!$E$16),0))</f>
        <v>0</v>
      </c>
      <c r="D46">
        <f>IF($D$39&gt;='3_Evaluierung'!$E$17,1,IF($D$39&gt;='3_Evaluierung'!$E$16,1/('3_Evaluierung'!$E$17-'3_Evaluierung'!$E$16)*($D$39-'3_Evaluierung'!$E$16),0))</f>
        <v>0</v>
      </c>
      <c r="E46">
        <f>IF($E$39&gt;='3_Evaluierung'!$E$17,1,IF($E$39&gt;='3_Evaluierung'!$E$16,1/('3_Evaluierung'!$E$17-'3_Evaluierung'!$E$16)*($E$39-'3_Evaluierung'!$E$16),0))</f>
        <v>0</v>
      </c>
      <c r="F46">
        <f>IF($F$39&gt;='3_Evaluierung'!$E$17,1,IF($F$39&gt;='3_Evaluierung'!$E$16,1/('3_Evaluierung'!$E$17-'3_Evaluierung'!$E$16)*($F$39-'3_Evaluierung'!$E$16),0))</f>
        <v>0</v>
      </c>
      <c r="G46">
        <f>IF($G$39&gt;='3_Evaluierung'!$E$17,1,IF($G$39&gt;='3_Evaluierung'!$E$16,1/('3_Evaluierung'!$E$17-'3_Evaluierung'!$E$16)*($G$39-'3_Evaluierung'!$E$16),0))</f>
        <v>0</v>
      </c>
      <c r="H46">
        <f>IF($H$39&gt;='3_Evaluierung'!$E$17,1,IF($H$39&gt;='3_Evaluierung'!$E$16,1/('3_Evaluierung'!$E$17-'3_Evaluierung'!$E$16)*($H$39-'3_Evaluierung'!$E$16),0))</f>
        <v>0</v>
      </c>
    </row>
    <row r="47" spans="1:8" x14ac:dyDescent="0.55000000000000004">
      <c r="A47" t="str">
        <v>Kombinierter Verkehr von A nach B</v>
      </c>
      <c r="C47">
        <f>IF($C$40&gt;='3_Evaluierung'!$E$17,1,IF($C$40&gt;='3_Evaluierung'!$E$16,1/('3_Evaluierung'!$E$17-'3_Evaluierung'!$E$16)*($C$40-'3_Evaluierung'!$E$16),0))</f>
        <v>0</v>
      </c>
      <c r="D47">
        <f>IF($D$40&gt;='3_Evaluierung'!$E$17,1,IF($D$40&gt;='3_Evaluierung'!$E$16,1/('3_Evaluierung'!$E$17-'3_Evaluierung'!$E$16)*($D$40-'3_Evaluierung'!$E$16),0))</f>
        <v>0</v>
      </c>
      <c r="E47">
        <f>IF($E$40&gt;='3_Evaluierung'!$E$17,1,IF($E$40&gt;='3_Evaluierung'!$E$16,1/('3_Evaluierung'!$E$17-'3_Evaluierung'!$E$16)*($E$40-'3_Evaluierung'!$E$16),0))</f>
        <v>0</v>
      </c>
      <c r="F47">
        <f>IF($F$40&gt;='3_Evaluierung'!$E$17,1,IF($F$40&gt;='3_Evaluierung'!$E$16,1/('3_Evaluierung'!$E$17-'3_Evaluierung'!$E$16)*($F$40-'3_Evaluierung'!$E$16),0))</f>
        <v>0</v>
      </c>
      <c r="G47">
        <f>IF($G$40&gt;='3_Evaluierung'!$E$17,1,IF($G$40&gt;='3_Evaluierung'!$E$16,1/('3_Evaluierung'!$E$17-'3_Evaluierung'!$E$16)*($G$40-'3_Evaluierung'!$E$16),0))</f>
        <v>0</v>
      </c>
      <c r="H47">
        <f>IF($H$40&gt;='3_Evaluierung'!$E$17,1,IF($H$40&gt;='3_Evaluierung'!$E$16,1/('3_Evaluierung'!$E$17-'3_Evaluierung'!$E$16)*($H$40-'3_Evaluierung'!$E$16),0))</f>
        <v>0</v>
      </c>
    </row>
    <row r="48" spans="1:8" x14ac:dyDescent="0.55000000000000004">
      <c r="A48" t="str">
        <v>Transportoptimierter Lieferabruf für Lieferant A und B</v>
      </c>
      <c r="C48">
        <f>IF($C$41&gt;='3_Evaluierung'!$E$17,1,IF($C$41&gt;='3_Evaluierung'!$E$16,1/('3_Evaluierung'!$E$17-'3_Evaluierung'!$E$16)*($C$41-'3_Evaluierung'!$E$16),0))</f>
        <v>0</v>
      </c>
      <c r="D48">
        <f>IF($D$41&gt;='3_Evaluierung'!$E$17,1,IF($D$41&gt;='3_Evaluierung'!$E$16,1/('3_Evaluierung'!$E$17-'3_Evaluierung'!$E$16)*($D$41-'3_Evaluierung'!$E$16),0))</f>
        <v>0</v>
      </c>
      <c r="E48">
        <f>IF($E$41&gt;='3_Evaluierung'!$E$17,1,IF($E$41&gt;='3_Evaluierung'!$E$16,1/('3_Evaluierung'!$E$17-'3_Evaluierung'!$E$16)*($E$41-'3_Evaluierung'!$E$16),0))</f>
        <v>0</v>
      </c>
      <c r="F48">
        <f>IF($F$41&gt;='3_Evaluierung'!$E$17,1,IF($F$41&gt;='3_Evaluierung'!$E$16,1/('3_Evaluierung'!$E$17-'3_Evaluierung'!$E$16)*($F$41-'3_Evaluierung'!$E$16),0))</f>
        <v>0</v>
      </c>
      <c r="G48">
        <f>IF($G$41&gt;='3_Evaluierung'!$E$17,1,IF($G$41&gt;='3_Evaluierung'!$E$16,1/('3_Evaluierung'!$E$17-'3_Evaluierung'!$E$16)*($G$41-'3_Evaluierung'!$E$16),0))</f>
        <v>0</v>
      </c>
      <c r="H48">
        <f>IF($H$41&gt;='3_Evaluierung'!$E$17,1,IF($H$41&gt;='3_Evaluierung'!$E$16,1/('3_Evaluierung'!$E$17-'3_Evaluierung'!$E$16)*($H$41-'3_Evaluierung'!$E$16),0))</f>
        <v>0</v>
      </c>
    </row>
    <row r="49" spans="1:8" x14ac:dyDescent="0.55000000000000004">
      <c r="C49">
        <f>IF($C$42&gt;='3_Evaluierung'!$E$17,1,IF($C$42&gt;='3_Evaluierung'!$E$16,1/('3_Evaluierung'!$E$17-'3_Evaluierung'!$E$16)*($C$42-'3_Evaluierung'!$E$16),0))</f>
        <v>0</v>
      </c>
      <c r="D49">
        <f>IF($D$42&gt;='3_Evaluierung'!$E$17,1,IF($D$42&gt;='3_Evaluierung'!$E$16,1/('3_Evaluierung'!$E$17-'3_Evaluierung'!$E$16)*($D$42-'3_Evaluierung'!$E$16),0))</f>
        <v>0</v>
      </c>
      <c r="E49">
        <f>IF($E$42&gt;='3_Evaluierung'!$E$17,1,IF($E$42&gt;='3_Evaluierung'!$E$16,1/('3_Evaluierung'!$E$17-'3_Evaluierung'!$E$16)*($E$42-'3_Evaluierung'!$E$16),0))</f>
        <v>0</v>
      </c>
      <c r="F49">
        <f>IF($F$42&gt;='3_Evaluierung'!$E$17,1,IF($F$42&gt;='3_Evaluierung'!$E$16,1/('3_Evaluierung'!$E$17-'3_Evaluierung'!$E$16)*($F$42-'3_Evaluierung'!$E$16),0))</f>
        <v>0</v>
      </c>
      <c r="G49">
        <f>IF($G$42&gt;='3_Evaluierung'!$E$17,1,IF($G$42&gt;='3_Evaluierung'!$E$16,1/('3_Evaluierung'!$E$17-'3_Evaluierung'!$E$16)*($G$42-'3_Evaluierung'!$E$16),0))</f>
        <v>0</v>
      </c>
      <c r="H49">
        <f>IF($H$42&gt;='3_Evaluierung'!$E$17,1,IF($H$42&gt;='3_Evaluierung'!$E$16,1/('3_Evaluierung'!$E$17-'3_Evaluierung'!$E$16)*($H$42-'3_Evaluierung'!$E$16),0))</f>
        <v>0</v>
      </c>
    </row>
    <row r="50" spans="1:8" x14ac:dyDescent="0.55000000000000004">
      <c r="C50">
        <f>IF($C$43&gt;='3_Evaluierung'!$E$17,1,IF($C$43&gt;='3_Evaluierung'!$E$16,1/('3_Evaluierung'!$E$17-'3_Evaluierung'!$E$16)*($C$43-'3_Evaluierung'!$E$16),0))</f>
        <v>0</v>
      </c>
      <c r="D50">
        <f>IF($D$43&gt;='3_Evaluierung'!$E$17,1,IF($D$43&gt;='3_Evaluierung'!$E$16,1/('3_Evaluierung'!$E$17-'3_Evaluierung'!$E$16)*($D$43-'3_Evaluierung'!$E$16),0))</f>
        <v>0</v>
      </c>
      <c r="E50">
        <f>IF($E$43&gt;='3_Evaluierung'!$E$17,1,IF($E$43&gt;='3_Evaluierung'!$E$16,1/('3_Evaluierung'!$E$17-'3_Evaluierung'!$E$16)*($E$43-'3_Evaluierung'!$E$16),0))</f>
        <v>0</v>
      </c>
      <c r="F50">
        <f>IF($F$43&gt;='3_Evaluierung'!$E$17,1,IF($F$43&gt;='3_Evaluierung'!$E$16,1/('3_Evaluierung'!$E$17-'3_Evaluierung'!$E$16)*($F$43-'3_Evaluierung'!$E$16),0))</f>
        <v>0</v>
      </c>
      <c r="G50">
        <f>IF($G$43&gt;='3_Evaluierung'!$E$17,1,IF($G$43&gt;='3_Evaluierung'!$E$16,1/('3_Evaluierung'!$E$17-'3_Evaluierung'!$E$16)*($G$43-'3_Evaluierung'!$E$16),0))</f>
        <v>0</v>
      </c>
      <c r="H50">
        <f>IF($H$43&gt;='3_Evaluierung'!$E$17,1,IF($H$43&gt;='3_Evaluierung'!$E$16,1/('3_Evaluierung'!$E$17-'3_Evaluierung'!$E$16)*($H$43-'3_Evaluierung'!$E$16),0))</f>
        <v>0</v>
      </c>
    </row>
    <row r="52" spans="1:8" x14ac:dyDescent="0.55000000000000004">
      <c r="A52" t="s">
        <v>13</v>
      </c>
    </row>
    <row r="53" spans="1:8" x14ac:dyDescent="0.55000000000000004">
      <c r="A53" t="e">
        <f>INDEX(Gewichtung_Smart[Rel. Gewicht], MATCH($A$52, Gewichtung_Smart[Bezeichnung], 0))</f>
        <v>#DIV/0!</v>
      </c>
      <c r="C53" t="str" cm="1">
        <f t="array" ref="C53:F53">TRANSPOSE(Massnahmen[Titel])</f>
        <v>E-LKW im Nahbereich unter 25km</v>
      </c>
      <c r="D53" t="str">
        <v>E-LKW im Nahbereich über 25km</v>
      </c>
      <c r="E53" t="str">
        <v>Kombinierter Verkehr von A nach B</v>
      </c>
      <c r="F53" t="str">
        <v>Transportoptimierter Lieferabruf für Lieferant A und B</v>
      </c>
    </row>
    <row r="54" spans="1:8" x14ac:dyDescent="0.55000000000000004">
      <c r="C54" cm="1">
        <f t="array" ref="C54:H54">TRANSPOSE('3_Evaluierung'!$F$19:$F$24)</f>
        <v>0</v>
      </c>
      <c r="D54">
        <v>0</v>
      </c>
      <c r="E54">
        <v>0</v>
      </c>
      <c r="F54">
        <v>0</v>
      </c>
      <c r="G54">
        <v>0</v>
      </c>
      <c r="H54">
        <v>0</v>
      </c>
    </row>
    <row r="55" spans="1:8" x14ac:dyDescent="0.55000000000000004">
      <c r="A55" t="str" cm="1">
        <f t="array" ref="A55:A58">Massnahmen[Titel]</f>
        <v>E-LKW im Nahbereich unter 25km</v>
      </c>
      <c r="B55" cm="1">
        <f t="array" ref="B55:B60">('3_Evaluierung'!$F$19:$F$24)</f>
        <v>0</v>
      </c>
      <c r="C55">
        <f>-1*($B$55-$C$54)</f>
        <v>0</v>
      </c>
      <c r="D55">
        <f>-1*($B$55-$D$54)</f>
        <v>0</v>
      </c>
      <c r="E55">
        <f>-1*($B$55-$E$54)</f>
        <v>0</v>
      </c>
      <c r="F55">
        <f>-1*($B$55-$F$54)</f>
        <v>0</v>
      </c>
      <c r="G55">
        <f>-1*($B$55-$G$54)</f>
        <v>0</v>
      </c>
      <c r="H55">
        <f>-1*($B$55-$H$54)</f>
        <v>0</v>
      </c>
    </row>
    <row r="56" spans="1:8" x14ac:dyDescent="0.55000000000000004">
      <c r="A56" t="str">
        <v>E-LKW im Nahbereich über 25km</v>
      </c>
      <c r="B56">
        <v>0</v>
      </c>
      <c r="C56">
        <f>-1*($B$56-$C$54)</f>
        <v>0</v>
      </c>
      <c r="D56">
        <f>-1*($B$56-$D$54)</f>
        <v>0</v>
      </c>
      <c r="E56">
        <f>-1*($B$56-$E$54)</f>
        <v>0</v>
      </c>
      <c r="F56">
        <f>-1*($B$56-$F$54)</f>
        <v>0</v>
      </c>
      <c r="G56">
        <f>-1*($B$56-$G$54)</f>
        <v>0</v>
      </c>
      <c r="H56">
        <f>-1*($B$56-$H$54)</f>
        <v>0</v>
      </c>
    </row>
    <row r="57" spans="1:8" x14ac:dyDescent="0.55000000000000004">
      <c r="A57" t="str">
        <v>Kombinierter Verkehr von A nach B</v>
      </c>
      <c r="B57">
        <v>0</v>
      </c>
      <c r="C57">
        <f>-1*($B$57-$C$54)</f>
        <v>0</v>
      </c>
      <c r="D57">
        <f>-1*($B$57-$D$54)</f>
        <v>0</v>
      </c>
      <c r="E57">
        <f>-1*($B$57-$E$54)</f>
        <v>0</v>
      </c>
      <c r="F57">
        <f>-1*($B$57-$F$54)</f>
        <v>0</v>
      </c>
      <c r="G57">
        <f>-1*($B$57-$G$54)</f>
        <v>0</v>
      </c>
      <c r="H57">
        <f>-1*($B$57-$H$54)</f>
        <v>0</v>
      </c>
    </row>
    <row r="58" spans="1:8" x14ac:dyDescent="0.55000000000000004">
      <c r="A58" t="str">
        <v>Transportoptimierter Lieferabruf für Lieferant A und B</v>
      </c>
      <c r="B58">
        <v>0</v>
      </c>
      <c r="C58">
        <f>-1*($B$58-$C$54)</f>
        <v>0</v>
      </c>
      <c r="D58">
        <f>-1*($B$58-$D$54)</f>
        <v>0</v>
      </c>
      <c r="E58">
        <f>-1*($B$58-$E$54)</f>
        <v>0</v>
      </c>
      <c r="F58">
        <f>-1*($B$58-$F$54)</f>
        <v>0</v>
      </c>
      <c r="G58">
        <f>-1*($B$58-$G$54)</f>
        <v>0</v>
      </c>
      <c r="H58">
        <f>-1*($B$58-$H$54)</f>
        <v>0</v>
      </c>
    </row>
    <row r="59" spans="1:8" x14ac:dyDescent="0.55000000000000004">
      <c r="B59">
        <v>0</v>
      </c>
      <c r="C59">
        <f>-1*($B$59-$C$54)</f>
        <v>0</v>
      </c>
      <c r="D59">
        <f>-1*($B$59-$D$54)</f>
        <v>0</v>
      </c>
      <c r="E59">
        <f>-1*($B$59-$E$54)</f>
        <v>0</v>
      </c>
      <c r="F59">
        <f>-1*($B$59-$F$54)</f>
        <v>0</v>
      </c>
      <c r="G59">
        <f>-1*($B$59-$G$54)</f>
        <v>0</v>
      </c>
      <c r="H59">
        <f>-1*($B$59-$H$54)</f>
        <v>0</v>
      </c>
    </row>
    <row r="60" spans="1:8" x14ac:dyDescent="0.55000000000000004">
      <c r="B60">
        <v>0</v>
      </c>
      <c r="C60">
        <f>-1*($B$60-$C$54)</f>
        <v>0</v>
      </c>
      <c r="D60">
        <f>-1*($B$60-$D$54)</f>
        <v>0</v>
      </c>
      <c r="E60">
        <f>-1*($B$60-$E$54)</f>
        <v>0</v>
      </c>
      <c r="F60">
        <f>-1*($B$60-$F$54)</f>
        <v>0</v>
      </c>
      <c r="G60">
        <f>-1*($B$60-$G$54)</f>
        <v>0</v>
      </c>
      <c r="H60">
        <f>-1*($B$60-$H$54)</f>
        <v>0</v>
      </c>
    </row>
    <row r="62" spans="1:8" x14ac:dyDescent="0.55000000000000004">
      <c r="A62" t="str" cm="1">
        <f t="array" ref="A62:A65">Massnahmen[Titel]</f>
        <v>E-LKW im Nahbereich unter 25km</v>
      </c>
      <c r="C62">
        <f>IF($C$55&gt;=2,1,IF($C$55&gt;=1,0.5,0))</f>
        <v>0</v>
      </c>
      <c r="D62">
        <f>IF($D$55&gt;=2,1,IF($D$55&gt;=1,0.5,0))</f>
        <v>0</v>
      </c>
      <c r="E62">
        <f>IF($E$55&gt;=2,1,IF($E$55&gt;=1,0.5,0))</f>
        <v>0</v>
      </c>
      <c r="F62">
        <f>IF($F$55&gt;=2,1,IF($F$55&gt;=1,0.5,0))</f>
        <v>0</v>
      </c>
      <c r="G62">
        <f>IF($G$55&gt;=2,1,IF($G$55&gt;=1,0.5,0))</f>
        <v>0</v>
      </c>
      <c r="H62">
        <f>IF($H$55&gt;=2,1,IF($H$55&gt;=1,0.5,0))</f>
        <v>0</v>
      </c>
    </row>
    <row r="63" spans="1:8" x14ac:dyDescent="0.55000000000000004">
      <c r="A63" t="str">
        <v>E-LKW im Nahbereich über 25km</v>
      </c>
      <c r="C63">
        <f>IF($C$56&gt;=2,1,IF($C$56&gt;=1,0.5,0))</f>
        <v>0</v>
      </c>
      <c r="D63">
        <f>IF($D$56&gt;=2,1,IF($D$56&gt;=1,0.5,0))</f>
        <v>0</v>
      </c>
      <c r="E63">
        <f>IF($E$56&gt;=2,1,IF($E$56&gt;=1,0.5,0))</f>
        <v>0</v>
      </c>
      <c r="F63">
        <f>IF($F$56&gt;=2,1,IF($F$56&gt;=1,0.5,0))</f>
        <v>0</v>
      </c>
      <c r="G63">
        <f>IF($G$56&gt;=2,1,IF($G$56&gt;=1,0.5,0))</f>
        <v>0</v>
      </c>
      <c r="H63">
        <f>IF($H$56&gt;=2,1,IF($H$56&gt;=1,0.5,0))</f>
        <v>0</v>
      </c>
    </row>
    <row r="64" spans="1:8" x14ac:dyDescent="0.55000000000000004">
      <c r="A64" t="str">
        <v>Kombinierter Verkehr von A nach B</v>
      </c>
      <c r="C64">
        <f>IF($C$57&gt;=2,1,IF($C$57&gt;=1,0.5,0))</f>
        <v>0</v>
      </c>
      <c r="D64">
        <f>IF($D$57&gt;=2,1,IF($D$57&gt;=1,0.5,0))</f>
        <v>0</v>
      </c>
      <c r="E64">
        <f>IF($E$57&gt;=2,1,IF($E$57&gt;=1,0.5,0))</f>
        <v>0</v>
      </c>
      <c r="F64">
        <f>IF($F$57&gt;=2,1,IF($F$57&gt;=1,0.5,0))</f>
        <v>0</v>
      </c>
      <c r="G64">
        <f>IF($G$57&gt;=2,1,IF($G$57&gt;=1,0.5,0))</f>
        <v>0</v>
      </c>
      <c r="H64">
        <f>IF($H$57&gt;=2,1,IF($H$57&gt;=1,0.5,0))</f>
        <v>0</v>
      </c>
    </row>
    <row r="65" spans="1:8" x14ac:dyDescent="0.55000000000000004">
      <c r="A65" t="str">
        <v>Transportoptimierter Lieferabruf für Lieferant A und B</v>
      </c>
      <c r="C65">
        <f>IF($C$58&gt;=2,1,IF($C$58&gt;=1,0.5,0))</f>
        <v>0</v>
      </c>
      <c r="D65">
        <f>IF($D$58&gt;=2,1,IF($D$58&gt;=1,0.5,0))</f>
        <v>0</v>
      </c>
      <c r="E65">
        <f>IF($E$58&gt;=2,1,IF($E$58&gt;=1,0.5,0))</f>
        <v>0</v>
      </c>
      <c r="F65">
        <f>IF($F$58&gt;=2,1,IF($F$58&gt;=1,0.5,0))</f>
        <v>0</v>
      </c>
      <c r="G65">
        <f>IF($G$58&gt;=2,1,IF($G$58&gt;=1,0.5,0))</f>
        <v>0</v>
      </c>
      <c r="H65">
        <f>IF($H$58&gt;=2,1,IF($H$58&gt;=1,0.5,0))</f>
        <v>0</v>
      </c>
    </row>
    <row r="66" spans="1:8" x14ac:dyDescent="0.55000000000000004">
      <c r="C66">
        <f>IF($C$59&gt;=2,1,IF($C$59&gt;=1,0.5,0))</f>
        <v>0</v>
      </c>
      <c r="D66">
        <f>IF($D$59&gt;=2,1,IF($D$59&gt;=1,0.5,0))</f>
        <v>0</v>
      </c>
      <c r="E66">
        <f>IF($E$59&gt;=2,1,IF($E$59&gt;=1,0.5,0))</f>
        <v>0</v>
      </c>
      <c r="F66">
        <f>IF($F$59&gt;=2,1,IF($F$59&gt;=1,0.5,0))</f>
        <v>0</v>
      </c>
      <c r="G66">
        <f>IF($G$59&gt;=2,1,IF($G$59&gt;=1,0.5,0))</f>
        <v>0</v>
      </c>
      <c r="H66">
        <f>IF($H$59&gt;=2,1,IF($H$59&gt;=1,0.5,0))</f>
        <v>0</v>
      </c>
    </row>
    <row r="67" spans="1:8" x14ac:dyDescent="0.55000000000000004">
      <c r="C67">
        <f>IF($C$60&gt;=2,1,IF($C$60&gt;=1,0.5,0))</f>
        <v>0</v>
      </c>
      <c r="D67">
        <f>IF($D$60&gt;=2,1,IF($D$60&gt;=1,0.5,0))</f>
        <v>0</v>
      </c>
      <c r="E67">
        <f>IF($E$60&gt;=2,1,IF($E$60&gt;=1,0.5,0))</f>
        <v>0</v>
      </c>
      <c r="F67">
        <f>IF($F$60&gt;=2,1,IF($F$60&gt;=1,0.5,0))</f>
        <v>0</v>
      </c>
      <c r="G67">
        <f>IF($G$60&gt;=2,1,IF($G$60&gt;=1,0.5,0))</f>
        <v>0</v>
      </c>
      <c r="H67">
        <f>IF($H$60&gt;=2,1,IF($H$60&gt;=1,0.5,0))</f>
        <v>0</v>
      </c>
    </row>
    <row r="69" spans="1:8" x14ac:dyDescent="0.55000000000000004">
      <c r="A69" t="s">
        <v>14</v>
      </c>
    </row>
    <row r="70" spans="1:8" x14ac:dyDescent="0.55000000000000004">
      <c r="A70" t="e">
        <f>INDEX(Gewichtung_Smart[Rel. Gewicht], MATCH($A$69, Gewichtung_Smart[Bezeichnung], 0))</f>
        <v>#DIV/0!</v>
      </c>
      <c r="C70" t="str" cm="1">
        <f t="array" ref="C70:F70">TRANSPOSE(Massnahmen[Titel])</f>
        <v>E-LKW im Nahbereich unter 25km</v>
      </c>
      <c r="D70" t="str">
        <v>E-LKW im Nahbereich über 25km</v>
      </c>
      <c r="E70" t="str">
        <v>Kombinierter Verkehr von A nach B</v>
      </c>
      <c r="F70" t="str">
        <v>Transportoptimierter Lieferabruf für Lieferant A und B</v>
      </c>
    </row>
    <row r="71" spans="1:8" x14ac:dyDescent="0.55000000000000004">
      <c r="C71" cm="1">
        <f t="array" ref="C71:H71">TRANSPOSE('3_Evaluierung'!$G$19:$G$24)</f>
        <v>0</v>
      </c>
      <c r="D71">
        <v>0</v>
      </c>
      <c r="E71">
        <v>0</v>
      </c>
      <c r="F71">
        <v>0</v>
      </c>
      <c r="G71">
        <v>0</v>
      </c>
      <c r="H71">
        <v>0</v>
      </c>
    </row>
    <row r="72" spans="1:8" x14ac:dyDescent="0.55000000000000004">
      <c r="A72" t="str" cm="1">
        <f t="array" ref="A72:A75">Massnahmen[Titel]</f>
        <v>E-LKW im Nahbereich unter 25km</v>
      </c>
      <c r="B72" cm="1">
        <f t="array" ref="B72:B77">('3_Evaluierung'!$G$19:$G$24)</f>
        <v>0</v>
      </c>
      <c r="C72">
        <f>$B$72-$C$71</f>
        <v>0</v>
      </c>
      <c r="D72">
        <f>$B$72-$D$71</f>
        <v>0</v>
      </c>
      <c r="E72">
        <f>$B$72-$E$71</f>
        <v>0</v>
      </c>
      <c r="F72">
        <f>$B$72-$F$71</f>
        <v>0</v>
      </c>
      <c r="G72">
        <f>$B$72-$G$71</f>
        <v>0</v>
      </c>
      <c r="H72">
        <f>$B$72-$H$71</f>
        <v>0</v>
      </c>
    </row>
    <row r="73" spans="1:8" x14ac:dyDescent="0.55000000000000004">
      <c r="A73" t="str">
        <v>E-LKW im Nahbereich über 25km</v>
      </c>
      <c r="B73">
        <v>0</v>
      </c>
      <c r="C73">
        <f>$B$73-$C$71</f>
        <v>0</v>
      </c>
      <c r="D73">
        <f>$B$73-$D$71</f>
        <v>0</v>
      </c>
      <c r="E73">
        <f>$B$73-$E$71</f>
        <v>0</v>
      </c>
      <c r="F73">
        <f>$B$73-$F$71</f>
        <v>0</v>
      </c>
      <c r="G73">
        <f>$B$73-$G$71</f>
        <v>0</v>
      </c>
      <c r="H73">
        <f>$B$73-$H$71</f>
        <v>0</v>
      </c>
    </row>
    <row r="74" spans="1:8" x14ac:dyDescent="0.55000000000000004">
      <c r="A74" t="str">
        <v>Kombinierter Verkehr von A nach B</v>
      </c>
      <c r="B74">
        <v>0</v>
      </c>
      <c r="C74">
        <f>$B$74-$C$71</f>
        <v>0</v>
      </c>
      <c r="D74">
        <f>$B$74-$D$71</f>
        <v>0</v>
      </c>
      <c r="E74">
        <f>$B$74-$E$71</f>
        <v>0</v>
      </c>
      <c r="F74">
        <f>$B$74-$F$71</f>
        <v>0</v>
      </c>
      <c r="G74">
        <f>$B$74-$G$71</f>
        <v>0</v>
      </c>
      <c r="H74">
        <f>$B$74-$H$71</f>
        <v>0</v>
      </c>
    </row>
    <row r="75" spans="1:8" x14ac:dyDescent="0.55000000000000004">
      <c r="A75" t="str">
        <v>Transportoptimierter Lieferabruf für Lieferant A und B</v>
      </c>
      <c r="B75">
        <v>0</v>
      </c>
      <c r="C75">
        <f>$B$75-$C$71</f>
        <v>0</v>
      </c>
      <c r="D75">
        <f>$B$75-$D$71</f>
        <v>0</v>
      </c>
      <c r="E75">
        <f>$B$75-$E$71</f>
        <v>0</v>
      </c>
      <c r="F75">
        <f>$B$75-$F$71</f>
        <v>0</v>
      </c>
      <c r="G75">
        <f>$B$75-$G$71</f>
        <v>0</v>
      </c>
      <c r="H75">
        <f>$B$75-$H$71</f>
        <v>0</v>
      </c>
    </row>
    <row r="76" spans="1:8" x14ac:dyDescent="0.55000000000000004">
      <c r="B76">
        <v>0</v>
      </c>
      <c r="C76">
        <f>$B$76-$C$71</f>
        <v>0</v>
      </c>
      <c r="D76">
        <f>$B$76-$D$71</f>
        <v>0</v>
      </c>
      <c r="E76">
        <f>$B$76-$E$71</f>
        <v>0</v>
      </c>
      <c r="F76">
        <f>$B$76-$F$71</f>
        <v>0</v>
      </c>
      <c r="G76">
        <f>$B$76-$G$71</f>
        <v>0</v>
      </c>
      <c r="H76">
        <f>$B$76-$H$71</f>
        <v>0</v>
      </c>
    </row>
    <row r="77" spans="1:8" x14ac:dyDescent="0.55000000000000004">
      <c r="B77">
        <v>0</v>
      </c>
      <c r="C77">
        <f>$B$77-$C$71</f>
        <v>0</v>
      </c>
      <c r="D77">
        <f>$B$77-$D$71</f>
        <v>0</v>
      </c>
      <c r="E77">
        <f>$B$77-$E$71</f>
        <v>0</v>
      </c>
      <c r="F77">
        <f>$B$77-$F$71</f>
        <v>0</v>
      </c>
      <c r="G77">
        <f>$B$77-$G$71</f>
        <v>0</v>
      </c>
      <c r="H77">
        <f>$B$77-$H$71</f>
        <v>0</v>
      </c>
    </row>
    <row r="79" spans="1:8" x14ac:dyDescent="0.55000000000000004">
      <c r="A79" t="str" cm="1">
        <f t="array" ref="A79:A82">Massnahmen[Titel]</f>
        <v>E-LKW im Nahbereich unter 25km</v>
      </c>
      <c r="C79">
        <f>IF($C$72&gt;='3_Evaluierung'!$G$17,1,IF($C$72&gt;='3_Evaluierung'!$G$16,1/('3_Evaluierung'!$G$17-'3_Evaluierung'!$G$16)*($C$72-'3_Evaluierung'!$G$16),0))</f>
        <v>0</v>
      </c>
      <c r="D79">
        <f>IF($D$72&gt;='3_Evaluierung'!$G$17,1,IF($D$72&gt;='3_Evaluierung'!$G$16,1/('3_Evaluierung'!$G$17-'3_Evaluierung'!$G$16)*($D$72-'3_Evaluierung'!$G$16),0))</f>
        <v>0</v>
      </c>
      <c r="E79">
        <f>IF($E$72&gt;='3_Evaluierung'!$G$17,1,IF($E$72&gt;='3_Evaluierung'!$G$16,1/('3_Evaluierung'!$G$17-'3_Evaluierung'!$G$16)*($E$72-'3_Evaluierung'!$G$16),0))</f>
        <v>0</v>
      </c>
      <c r="F79">
        <f>IF($F$72&gt;='3_Evaluierung'!$G$17,1,IF($F$72&gt;='3_Evaluierung'!$G$16,1/('3_Evaluierung'!$G$17-'3_Evaluierung'!$G$16)*($F$72-'3_Evaluierung'!$G$16),0))</f>
        <v>0</v>
      </c>
      <c r="G79">
        <f>IF($G$72&gt;='3_Evaluierung'!$G$17,1,IF($G$72&gt;='3_Evaluierung'!$G$16,1/('3_Evaluierung'!$G$17-'3_Evaluierung'!$G$16)*($G$72-'3_Evaluierung'!$G$16),0))</f>
        <v>0</v>
      </c>
      <c r="H79">
        <f>IF($H$72&gt;='3_Evaluierung'!$G$17,1,IF($H$72&gt;='3_Evaluierung'!$G$16,1/('3_Evaluierung'!$G$17-'3_Evaluierung'!$G$16)*($H$72-'3_Evaluierung'!$G$16),0))</f>
        <v>0</v>
      </c>
    </row>
    <row r="80" spans="1:8" x14ac:dyDescent="0.55000000000000004">
      <c r="A80" t="str">
        <v>E-LKW im Nahbereich über 25km</v>
      </c>
      <c r="C80">
        <f>IF($C$73&gt;='3_Evaluierung'!$G$17,1,IF($C$73&gt;='3_Evaluierung'!$G$16,1/('3_Evaluierung'!$G$17-'3_Evaluierung'!$G$16)*($C$73-'3_Evaluierung'!$G$16),0))</f>
        <v>0</v>
      </c>
      <c r="D80">
        <f>IF($D$73&gt;='3_Evaluierung'!$G$17,1,IF($D$73&gt;='3_Evaluierung'!$G$16,1/('3_Evaluierung'!$G$17-'3_Evaluierung'!$G$16)*($D$73-'3_Evaluierung'!$G$16),0))</f>
        <v>0</v>
      </c>
      <c r="E80">
        <f>IF($E$73&gt;='3_Evaluierung'!$G$17,1,IF($E$73&gt;='3_Evaluierung'!$G$16,1/('3_Evaluierung'!$G$17-'3_Evaluierung'!$G$16)*($E$73-'3_Evaluierung'!$G$16),0))</f>
        <v>0</v>
      </c>
      <c r="F80">
        <f>IF($F$73&gt;='3_Evaluierung'!$G$17,1,IF($F$73&gt;='3_Evaluierung'!$G$16,1/('3_Evaluierung'!$G$17-'3_Evaluierung'!$G$16)*($F$73-'3_Evaluierung'!$G$16),0))</f>
        <v>0</v>
      </c>
      <c r="G80">
        <f>IF($G$73&gt;='3_Evaluierung'!$G$17,1,IF($G$73&gt;='3_Evaluierung'!$G$16,1/('3_Evaluierung'!$G$17-'3_Evaluierung'!$G$16)*($G$73-'3_Evaluierung'!$G$16),0))</f>
        <v>0</v>
      </c>
      <c r="H80">
        <f>IF($H$73&gt;='3_Evaluierung'!$G$17,1,IF($H$73&gt;='3_Evaluierung'!$G$16,1/('3_Evaluierung'!$G$17-'3_Evaluierung'!$G$16)*($H$73-'3_Evaluierung'!$G$16),0))</f>
        <v>0</v>
      </c>
    </row>
    <row r="81" spans="1:8" x14ac:dyDescent="0.55000000000000004">
      <c r="A81" t="str">
        <v>Kombinierter Verkehr von A nach B</v>
      </c>
      <c r="C81">
        <f>IF($C$74&gt;='3_Evaluierung'!$G$17,1,IF($C$74&gt;='3_Evaluierung'!$G$16,1/('3_Evaluierung'!$G$17-'3_Evaluierung'!$G$16)*($C$74-'3_Evaluierung'!$G$16),0))</f>
        <v>0</v>
      </c>
      <c r="D81">
        <f>IF($D$74&gt;='3_Evaluierung'!$G$17,1,IF($D$74&gt;='3_Evaluierung'!$G$16,1/('3_Evaluierung'!$G$17-'3_Evaluierung'!$G$16)*($D$74-'3_Evaluierung'!$G$16),0))</f>
        <v>0</v>
      </c>
      <c r="E81">
        <f>IF($E$74&gt;='3_Evaluierung'!$G$17,1,IF($E$74&gt;='3_Evaluierung'!$G$16,1/('3_Evaluierung'!$G$17-'3_Evaluierung'!$G$16)*($E$74-'3_Evaluierung'!$G$16),0))</f>
        <v>0</v>
      </c>
      <c r="F81">
        <f>IF($F$74&gt;='3_Evaluierung'!$G$17,1,IF($F$74&gt;='3_Evaluierung'!$G$16,1/('3_Evaluierung'!$G$17-'3_Evaluierung'!$G$16)*($F$74-'3_Evaluierung'!$G$16),0))</f>
        <v>0</v>
      </c>
      <c r="G81">
        <f>IF($G$74&gt;='3_Evaluierung'!$G$17,1,IF($G$74&gt;='3_Evaluierung'!$G$16,1/('3_Evaluierung'!$G$17-'3_Evaluierung'!$G$16)*($G$74-'3_Evaluierung'!$G$16),0))</f>
        <v>0</v>
      </c>
      <c r="H81">
        <f>IF($H$74&gt;='3_Evaluierung'!$G$17,1,IF($H$74&gt;='3_Evaluierung'!$G$16,1/('3_Evaluierung'!$G$17-'3_Evaluierung'!$G$16)*($H$74-'3_Evaluierung'!$G$16),0))</f>
        <v>0</v>
      </c>
    </row>
    <row r="82" spans="1:8" x14ac:dyDescent="0.55000000000000004">
      <c r="A82" t="str">
        <v>Transportoptimierter Lieferabruf für Lieferant A und B</v>
      </c>
      <c r="C82">
        <f>IF($C$75&gt;='3_Evaluierung'!$G$17,1,IF($C$75&gt;='3_Evaluierung'!$G$16,1/('3_Evaluierung'!$G$17-'3_Evaluierung'!$G$16)*($C$75-'3_Evaluierung'!$G$16),0))</f>
        <v>0</v>
      </c>
      <c r="D82">
        <f>IF($D$75&gt;='3_Evaluierung'!$G$17,1,IF($D$75&gt;='3_Evaluierung'!$G$16,1/('3_Evaluierung'!$G$17-'3_Evaluierung'!$G$16)*($D$75-'3_Evaluierung'!$G$16),0))</f>
        <v>0</v>
      </c>
      <c r="E82">
        <f>IF($E$75&gt;='3_Evaluierung'!$G$17,1,IF($E$75&gt;='3_Evaluierung'!$G$16,1/('3_Evaluierung'!$G$17-'3_Evaluierung'!$G$16)*($E$75-'3_Evaluierung'!$G$16),0))</f>
        <v>0</v>
      </c>
      <c r="F82">
        <f>IF($F$75&gt;='3_Evaluierung'!$G$17,1,IF($F$75&gt;='3_Evaluierung'!$G$16,1/('3_Evaluierung'!$G$17-'3_Evaluierung'!$G$16)*($F$75-'3_Evaluierung'!$G$16),0))</f>
        <v>0</v>
      </c>
      <c r="G82">
        <f>IF($G$75&gt;='3_Evaluierung'!$G$17,1,IF($G$75&gt;='3_Evaluierung'!$G$16,1/('3_Evaluierung'!$G$17-'3_Evaluierung'!$G$16)*($G$75-'3_Evaluierung'!$G$16),0))</f>
        <v>0</v>
      </c>
      <c r="H82">
        <f>IF($H$75&gt;='3_Evaluierung'!$G$17,1,IF($H$75&gt;='3_Evaluierung'!$G$16,1/('3_Evaluierung'!$G$17-'3_Evaluierung'!$G$16)*($H$75-'3_Evaluierung'!$G$16),0))</f>
        <v>0</v>
      </c>
    </row>
    <row r="83" spans="1:8" x14ac:dyDescent="0.55000000000000004">
      <c r="C83">
        <f>IF($C$76&gt;='3_Evaluierung'!$G$17,1,IF($C$76&gt;='3_Evaluierung'!$G$16,1/('3_Evaluierung'!$G$17-'3_Evaluierung'!$G$16)*($C$76-'3_Evaluierung'!$G$16),0))</f>
        <v>0</v>
      </c>
      <c r="D83">
        <f>IF($D$76&gt;='3_Evaluierung'!$G$17,1,IF($D$76&gt;='3_Evaluierung'!$G$16,1/('3_Evaluierung'!$G$17-'3_Evaluierung'!$G$16)*($D$76-'3_Evaluierung'!$G$16),0))</f>
        <v>0</v>
      </c>
      <c r="E83">
        <f>IF($E$76&gt;='3_Evaluierung'!$G$17,1,IF($E$76&gt;='3_Evaluierung'!$G$16,1/('3_Evaluierung'!$G$17-'3_Evaluierung'!$G$16)*($E$76-'3_Evaluierung'!$G$16),0))</f>
        <v>0</v>
      </c>
      <c r="F83">
        <f>IF($F$76&gt;='3_Evaluierung'!$G$17,1,IF($F$76&gt;='3_Evaluierung'!$G$16,1/('3_Evaluierung'!$G$17-'3_Evaluierung'!$G$16)*($F$76-'3_Evaluierung'!$G$16),0))</f>
        <v>0</v>
      </c>
      <c r="G83">
        <f>IF($G$76&gt;='3_Evaluierung'!$G$17,1,IF($G$76&gt;='3_Evaluierung'!$G$16,1/('3_Evaluierung'!$G$17-'3_Evaluierung'!$G$16)*($G$76-'3_Evaluierung'!$G$16),0))</f>
        <v>0</v>
      </c>
      <c r="H83">
        <f>IF($H$76&gt;='3_Evaluierung'!$G$17,1,IF($H$76&gt;='3_Evaluierung'!$G$16,1/('3_Evaluierung'!$G$17-'3_Evaluierung'!$G$16)*($H$76-'3_Evaluierung'!$G$16),0))</f>
        <v>0</v>
      </c>
    </row>
    <row r="84" spans="1:8" x14ac:dyDescent="0.55000000000000004">
      <c r="C84">
        <f>IF($C$77&gt;='3_Evaluierung'!$G$17,1,IF($C$77&gt;='3_Evaluierung'!$G$16,1/('3_Evaluierung'!$G$17-'3_Evaluierung'!$G$16)*($C$77-'3_Evaluierung'!$G$16),0))</f>
        <v>0</v>
      </c>
      <c r="D84">
        <f>IF($D$77&gt;='3_Evaluierung'!$G$17,1,IF($D$77&gt;='3_Evaluierung'!$G$16,1/('3_Evaluierung'!$G$17-'3_Evaluierung'!$G$16)*($D$77-'3_Evaluierung'!$G$16),0))</f>
        <v>0</v>
      </c>
      <c r="E84">
        <f>IF($E$77&gt;='3_Evaluierung'!$G$17,1,IF($E$77&gt;='3_Evaluierung'!$G$16,1/('3_Evaluierung'!$G$17-'3_Evaluierung'!$G$16)*($E$77-'3_Evaluierung'!$G$16),0))</f>
        <v>0</v>
      </c>
      <c r="F84">
        <f>IF($F$77&gt;='3_Evaluierung'!$G$17,1,IF($F$77&gt;='3_Evaluierung'!$G$16,1/('3_Evaluierung'!$G$17-'3_Evaluierung'!$G$16)*($F$77-'3_Evaluierung'!$G$16),0))</f>
        <v>0</v>
      </c>
      <c r="G84">
        <f>IF($G$77&gt;='3_Evaluierung'!$G$17,1,IF($G$77&gt;='3_Evaluierung'!$G$16,1/('3_Evaluierung'!$G$17-'3_Evaluierung'!$G$16)*($G$77-'3_Evaluierung'!$G$16),0))</f>
        <v>0</v>
      </c>
      <c r="H84">
        <f>IF($H$77&gt;='3_Evaluierung'!$G$17,1,IF($H$77&gt;='3_Evaluierung'!$G$16,1/('3_Evaluierung'!$G$17-'3_Evaluierung'!$G$16)*($H$77-'3_Evaluierung'!$G$16),0))</f>
        <v>0</v>
      </c>
    </row>
    <row r="86" spans="1:8" x14ac:dyDescent="0.55000000000000004">
      <c r="A86" t="s">
        <v>88</v>
      </c>
    </row>
    <row r="87" spans="1:8" x14ac:dyDescent="0.55000000000000004">
      <c r="A87" t="e">
        <f>INDEX(Gewichtung_Smart[Rel. Gewicht], MATCH($A$86, Gewichtung_Smart[Bezeichnung], 0))</f>
        <v>#DIV/0!</v>
      </c>
      <c r="C87" t="str" cm="1">
        <f t="array" ref="C87:F87">TRANSPOSE(Massnahmen[Titel])</f>
        <v>E-LKW im Nahbereich unter 25km</v>
      </c>
      <c r="D87" t="str">
        <v>E-LKW im Nahbereich über 25km</v>
      </c>
      <c r="E87" t="str">
        <v>Kombinierter Verkehr von A nach B</v>
      </c>
      <c r="F87" t="str">
        <v>Transportoptimierter Lieferabruf für Lieferant A und B</v>
      </c>
    </row>
    <row r="88" spans="1:8" x14ac:dyDescent="0.55000000000000004">
      <c r="C88" cm="1">
        <f t="array" ref="C88:H88">TRANSPOSE('3_Evaluierung'!$H$19:$H$24)</f>
        <v>0</v>
      </c>
      <c r="D88">
        <v>0</v>
      </c>
      <c r="E88">
        <v>0</v>
      </c>
      <c r="F88">
        <v>0</v>
      </c>
      <c r="G88">
        <v>0</v>
      </c>
      <c r="H88">
        <v>0</v>
      </c>
    </row>
    <row r="89" spans="1:8" x14ac:dyDescent="0.55000000000000004">
      <c r="A89" t="str" cm="1">
        <f t="array" ref="A89:A92">Massnahmen[Titel]</f>
        <v>E-LKW im Nahbereich unter 25km</v>
      </c>
      <c r="B89" cm="1">
        <f t="array" ref="B89:B94">('3_Evaluierung'!$H$19:$H$24)</f>
        <v>0</v>
      </c>
      <c r="C89">
        <f>-1*($B$89-$C$88)</f>
        <v>0</v>
      </c>
      <c r="D89">
        <f>-1*($B$89-$D$88)</f>
        <v>0</v>
      </c>
      <c r="E89">
        <f>-1*($B$89-$E$88)</f>
        <v>0</v>
      </c>
      <c r="F89">
        <f>-1*($B$89-$F$88)</f>
        <v>0</v>
      </c>
      <c r="G89">
        <f>-1*($B$89-$G$88)</f>
        <v>0</v>
      </c>
      <c r="H89">
        <f>-1*($B$89-$H$88)</f>
        <v>0</v>
      </c>
    </row>
    <row r="90" spans="1:8" x14ac:dyDescent="0.55000000000000004">
      <c r="A90" t="str">
        <v>E-LKW im Nahbereich über 25km</v>
      </c>
      <c r="B90">
        <v>0</v>
      </c>
      <c r="C90">
        <f>-1*($B$90-$C$88)</f>
        <v>0</v>
      </c>
      <c r="D90">
        <f>-1*($B$90-$D$88)</f>
        <v>0</v>
      </c>
      <c r="E90">
        <f>-1*($B$90-$E$88)</f>
        <v>0</v>
      </c>
      <c r="F90">
        <f>-1*($B$90-$F$88)</f>
        <v>0</v>
      </c>
      <c r="G90">
        <f>-1*($B$90-$G$88)</f>
        <v>0</v>
      </c>
      <c r="H90">
        <f>-1*($B$90-$H$88)</f>
        <v>0</v>
      </c>
    </row>
    <row r="91" spans="1:8" x14ac:dyDescent="0.55000000000000004">
      <c r="A91" t="str">
        <v>Kombinierter Verkehr von A nach B</v>
      </c>
      <c r="B91">
        <v>0</v>
      </c>
      <c r="C91">
        <f>-1*($B$91-$C$88)</f>
        <v>0</v>
      </c>
      <c r="D91">
        <f>-1*($B$91-$D$88)</f>
        <v>0</v>
      </c>
      <c r="E91">
        <f>-1*($B$91-$E$88)</f>
        <v>0</v>
      </c>
      <c r="F91">
        <f>-1*($B$91-$F$88)</f>
        <v>0</v>
      </c>
      <c r="G91">
        <f>-1*($B$91-$G$88)</f>
        <v>0</v>
      </c>
      <c r="H91">
        <f>-1*($B$91-$H$88)</f>
        <v>0</v>
      </c>
    </row>
    <row r="92" spans="1:8" x14ac:dyDescent="0.55000000000000004">
      <c r="A92" t="str">
        <v>Transportoptimierter Lieferabruf für Lieferant A und B</v>
      </c>
      <c r="B92">
        <v>0</v>
      </c>
      <c r="C92">
        <f>-1*($B$92-$C$88)</f>
        <v>0</v>
      </c>
      <c r="D92">
        <f>-1*($B$92-$D$88)</f>
        <v>0</v>
      </c>
      <c r="E92">
        <f>-1*($B$92-$E$88)</f>
        <v>0</v>
      </c>
      <c r="F92">
        <f>-1*($B$92-$F$88)</f>
        <v>0</v>
      </c>
      <c r="G92">
        <f>-1*($B$92-$G$88)</f>
        <v>0</v>
      </c>
      <c r="H92">
        <f>-1*($B$92-$H$88)</f>
        <v>0</v>
      </c>
    </row>
    <row r="93" spans="1:8" x14ac:dyDescent="0.55000000000000004">
      <c r="B93">
        <v>0</v>
      </c>
      <c r="C93">
        <f>-1*($B$93-$C$88)</f>
        <v>0</v>
      </c>
      <c r="D93">
        <f>-1*($B$93-$D$88)</f>
        <v>0</v>
      </c>
      <c r="E93">
        <f>-1*($B$93-$E$88)</f>
        <v>0</v>
      </c>
      <c r="F93">
        <f>-1*($B$93-$F$88)</f>
        <v>0</v>
      </c>
      <c r="G93">
        <f>-1*($B$93-$G$88)</f>
        <v>0</v>
      </c>
      <c r="H93">
        <f>-1*($B$93-$H$88)</f>
        <v>0</v>
      </c>
    </row>
    <row r="94" spans="1:8" x14ac:dyDescent="0.55000000000000004">
      <c r="B94">
        <v>0</v>
      </c>
      <c r="C94">
        <f>-1*($B$94-$C$88)</f>
        <v>0</v>
      </c>
      <c r="D94">
        <f>-1*($B$94-$D$88)</f>
        <v>0</v>
      </c>
      <c r="E94">
        <f>-1*($B$94-$E$88)</f>
        <v>0</v>
      </c>
      <c r="F94">
        <f>-1*($B$94-$F$88)</f>
        <v>0</v>
      </c>
      <c r="G94">
        <f>-1*($B$94-$G$88)</f>
        <v>0</v>
      </c>
      <c r="H94">
        <f>-1*($B$94-$H$88)</f>
        <v>0</v>
      </c>
    </row>
    <row r="96" spans="1:8" x14ac:dyDescent="0.55000000000000004">
      <c r="A96" t="str" cm="1">
        <f t="array" ref="A96:A99">Massnahmen[Titel]</f>
        <v>E-LKW im Nahbereich unter 25km</v>
      </c>
      <c r="C96">
        <f>IF($C$89&gt;=2,1,IF($C$89&gt;=1,0.5,0))</f>
        <v>0</v>
      </c>
      <c r="D96">
        <f>IF($D$89&gt;=2,1,IF($D$89&gt;=1,0.5,0))</f>
        <v>0</v>
      </c>
      <c r="E96">
        <f>IF($E$89&gt;=2,1,IF($E$89&gt;=1,0.5,0))</f>
        <v>0</v>
      </c>
      <c r="F96">
        <f>IF($F$89&gt;=2,1,IF($F$89&gt;=1,0.5,0))</f>
        <v>0</v>
      </c>
      <c r="G96">
        <f>IF($G$89&gt;=2,1,IF($G$89&gt;=1,0.5,0))</f>
        <v>0</v>
      </c>
      <c r="H96">
        <f>IF($H$89&gt;=2,1,IF($H$89&gt;=1,0.5,0))</f>
        <v>0</v>
      </c>
    </row>
    <row r="97" spans="1:8" x14ac:dyDescent="0.55000000000000004">
      <c r="A97" t="str">
        <v>E-LKW im Nahbereich über 25km</v>
      </c>
      <c r="C97">
        <f>IF($C$90&gt;=2,1,IF($C$90&gt;=1,0.5,0))</f>
        <v>0</v>
      </c>
      <c r="D97">
        <f>IF($D$90&gt;=2,1,IF($D$90&gt;=1,0.5,0))</f>
        <v>0</v>
      </c>
      <c r="E97">
        <f>IF($E$90&gt;=2,1,IF($E$90&gt;=1,0.5,0))</f>
        <v>0</v>
      </c>
      <c r="F97">
        <f>IF($F$90&gt;=2,1,IF($F$90&gt;=1,0.5,0))</f>
        <v>0</v>
      </c>
      <c r="G97">
        <f>IF($G$90&gt;=2,1,IF($G$90&gt;=1,0.5,0))</f>
        <v>0</v>
      </c>
      <c r="H97">
        <f>IF($H$90&gt;=2,1,IF($H$90&gt;=1,0.5,0))</f>
        <v>0</v>
      </c>
    </row>
    <row r="98" spans="1:8" x14ac:dyDescent="0.55000000000000004">
      <c r="A98" t="str">
        <v>Kombinierter Verkehr von A nach B</v>
      </c>
      <c r="C98">
        <f>IF($C$91&gt;=2,1,IF($C$91&gt;=1,0.5,0))</f>
        <v>0</v>
      </c>
      <c r="D98">
        <f>IF($D$91&gt;=2,1,IF($D$91&gt;=1,0.5,0))</f>
        <v>0</v>
      </c>
      <c r="E98">
        <f>IF($E$91&gt;=2,1,IF($E$91&gt;=1,0.5,0))</f>
        <v>0</v>
      </c>
      <c r="F98">
        <f>IF($F$91&gt;=2,1,IF($F$91&gt;=1,0.5,0))</f>
        <v>0</v>
      </c>
      <c r="G98">
        <f>IF($G$91&gt;=2,1,IF($G$91&gt;=1,0.5,0))</f>
        <v>0</v>
      </c>
      <c r="H98">
        <f>IF($H$91&gt;=2,1,IF($H$91&gt;=1,0.5,0))</f>
        <v>0</v>
      </c>
    </row>
    <row r="99" spans="1:8" x14ac:dyDescent="0.55000000000000004">
      <c r="A99" t="str">
        <v>Transportoptimierter Lieferabruf für Lieferant A und B</v>
      </c>
      <c r="C99">
        <f>IF($C$92&gt;=2,1,IF($C$92&gt;=1,0.5,0))</f>
        <v>0</v>
      </c>
      <c r="D99">
        <f>IF($D$92&gt;=2,1,IF($D$92&gt;=1,0.5,0))</f>
        <v>0</v>
      </c>
      <c r="E99">
        <f>IF($E$92&gt;=2,1,IF($E$92&gt;=1,0.5,0))</f>
        <v>0</v>
      </c>
      <c r="F99">
        <f>IF($F$92&gt;=2,1,IF($F$92&gt;=1,0.5,0))</f>
        <v>0</v>
      </c>
      <c r="G99">
        <f>IF($G$92&gt;=2,1,IF($G$92&gt;=1,0.5,0))</f>
        <v>0</v>
      </c>
      <c r="H99">
        <f>IF($H$92&gt;=2,1,IF($H$92&gt;=1,0.5,0))</f>
        <v>0</v>
      </c>
    </row>
    <row r="100" spans="1:8" x14ac:dyDescent="0.55000000000000004">
      <c r="C100">
        <f>IF($C$93&gt;=2,1,IF($C$93&gt;=1,0.5,0))</f>
        <v>0</v>
      </c>
      <c r="D100">
        <f>IF($D$93&gt;=2,1,IF($D$93&gt;=1,0.5,0))</f>
        <v>0</v>
      </c>
      <c r="E100">
        <f>IF($E$93&gt;=2,1,IF($E$93&gt;=1,0.5,0))</f>
        <v>0</v>
      </c>
      <c r="F100">
        <f>IF($F$93&gt;=2,1,IF($F$93&gt;=1,0.5,0))</f>
        <v>0</v>
      </c>
      <c r="G100">
        <f>IF($G$93&gt;=2,1,IF($G$93&gt;=1,0.5,0))</f>
        <v>0</v>
      </c>
      <c r="H100">
        <f>IF($H$93&gt;=2,1,IF($H$93&gt;=1,0.5,0))</f>
        <v>0</v>
      </c>
    </row>
    <row r="101" spans="1:8" x14ac:dyDescent="0.55000000000000004">
      <c r="C101">
        <f>IF($C$94&gt;=2,1,IF($C$94&gt;=1,0.5,0))</f>
        <v>0</v>
      </c>
      <c r="D101">
        <f>IF($D$94&gt;=2,1,IF($D$94&gt;=1,0.5,0))</f>
        <v>0</v>
      </c>
      <c r="E101">
        <f>IF($E$94&gt;=2,1,IF($E$94&gt;=1,0.5,0))</f>
        <v>0</v>
      </c>
      <c r="F101">
        <f>IF($F$94&gt;=2,1,IF($F$94&gt;=1,0.5,0))</f>
        <v>0</v>
      </c>
      <c r="G101">
        <f>IF($G$94&gt;=2,1,IF($G$94&gt;=1,0.5,0))</f>
        <v>0</v>
      </c>
      <c r="H101">
        <f>IF($H$94&gt;=2,1,IF($H$94&gt;=1,0.5,0))</f>
        <v>0</v>
      </c>
    </row>
    <row r="103" spans="1:8" x14ac:dyDescent="0.55000000000000004">
      <c r="A103" t="s">
        <v>12</v>
      </c>
    </row>
    <row r="104" spans="1:8" x14ac:dyDescent="0.55000000000000004">
      <c r="A104" t="e">
        <f>INDEX(Gewichtung_Smart[Rel. Gewicht], MATCH($A$103, Gewichtung_Smart[Bezeichnung], 0))</f>
        <v>#DIV/0!</v>
      </c>
      <c r="C104" t="str" cm="1">
        <f t="array" ref="C104:F104">TRANSPOSE(Massnahmen[Titel])</f>
        <v>E-LKW im Nahbereich unter 25km</v>
      </c>
      <c r="D104" t="str">
        <v>E-LKW im Nahbereich über 25km</v>
      </c>
      <c r="E104" t="str">
        <v>Kombinierter Verkehr von A nach B</v>
      </c>
      <c r="F104" t="str">
        <v>Transportoptimierter Lieferabruf für Lieferant A und B</v>
      </c>
    </row>
    <row r="105" spans="1:8" x14ac:dyDescent="0.55000000000000004">
      <c r="C105" cm="1">
        <f t="array" ref="C105:H105">TRANSPOSE('3_Evaluierung'!$I$19:$I$24)</f>
        <v>0</v>
      </c>
      <c r="D105">
        <v>0</v>
      </c>
      <c r="E105">
        <v>0</v>
      </c>
      <c r="F105">
        <v>0</v>
      </c>
      <c r="G105">
        <v>0</v>
      </c>
      <c r="H105">
        <v>0</v>
      </c>
    </row>
    <row r="106" spans="1:8" x14ac:dyDescent="0.55000000000000004">
      <c r="A106" t="str" cm="1">
        <f t="array" ref="A106:A109">Massnahmen[Titel]</f>
        <v>E-LKW im Nahbereich unter 25km</v>
      </c>
      <c r="B106" cm="1">
        <f t="array" ref="B106:B111">('3_Evaluierung'!$I$19:$I$24)</f>
        <v>0</v>
      </c>
      <c r="C106">
        <f>$B$106-$C$105</f>
        <v>0</v>
      </c>
      <c r="D106">
        <f>$B$106-$D$105</f>
        <v>0</v>
      </c>
      <c r="E106">
        <f>$B$106-$E$105</f>
        <v>0</v>
      </c>
      <c r="F106">
        <f>$B$106-$F$105</f>
        <v>0</v>
      </c>
      <c r="G106">
        <f>$B$106-$G$105</f>
        <v>0</v>
      </c>
      <c r="H106">
        <f>$B$106-$H$105</f>
        <v>0</v>
      </c>
    </row>
    <row r="107" spans="1:8" x14ac:dyDescent="0.55000000000000004">
      <c r="A107" t="str">
        <v>E-LKW im Nahbereich über 25km</v>
      </c>
      <c r="B107">
        <v>0</v>
      </c>
      <c r="C107">
        <f>$B$107-$C$105</f>
        <v>0</v>
      </c>
      <c r="D107">
        <f>$B$107-$D$105</f>
        <v>0</v>
      </c>
      <c r="E107">
        <f>$B$107-$E$105</f>
        <v>0</v>
      </c>
      <c r="F107">
        <f>$B$107-$F$105</f>
        <v>0</v>
      </c>
      <c r="G107">
        <f>$B$107-$G$105</f>
        <v>0</v>
      </c>
      <c r="H107">
        <f>$B$107-$H$105</f>
        <v>0</v>
      </c>
    </row>
    <row r="108" spans="1:8" x14ac:dyDescent="0.55000000000000004">
      <c r="A108" t="str">
        <v>Kombinierter Verkehr von A nach B</v>
      </c>
      <c r="B108">
        <v>0</v>
      </c>
      <c r="C108">
        <f>$B$108-$C$105</f>
        <v>0</v>
      </c>
      <c r="D108">
        <f>$B$108-$D$105</f>
        <v>0</v>
      </c>
      <c r="E108">
        <f>$B$108-$E$105</f>
        <v>0</v>
      </c>
      <c r="F108">
        <f>$B$108-$F$105</f>
        <v>0</v>
      </c>
      <c r="G108">
        <f>$B$108-$G$105</f>
        <v>0</v>
      </c>
      <c r="H108">
        <f>$B$108-$H$105</f>
        <v>0</v>
      </c>
    </row>
    <row r="109" spans="1:8" x14ac:dyDescent="0.55000000000000004">
      <c r="A109" t="str">
        <v>Transportoptimierter Lieferabruf für Lieferant A und B</v>
      </c>
      <c r="B109">
        <v>0</v>
      </c>
      <c r="C109">
        <f>$B$109-$C$105</f>
        <v>0</v>
      </c>
      <c r="D109">
        <f>$B$109-$D$105</f>
        <v>0</v>
      </c>
      <c r="E109">
        <f>$B$109-$E$105</f>
        <v>0</v>
      </c>
      <c r="F109">
        <f>$B$109-$F$105</f>
        <v>0</v>
      </c>
      <c r="G109">
        <f>$B$109-$G$105</f>
        <v>0</v>
      </c>
      <c r="H109">
        <f>$B$109-$H$105</f>
        <v>0</v>
      </c>
    </row>
    <row r="110" spans="1:8" x14ac:dyDescent="0.55000000000000004">
      <c r="B110">
        <v>0</v>
      </c>
      <c r="C110">
        <f>$B$110-$C$105</f>
        <v>0</v>
      </c>
      <c r="D110">
        <f>$B$110-$D$105</f>
        <v>0</v>
      </c>
      <c r="E110">
        <f>$B$110-$E$105</f>
        <v>0</v>
      </c>
      <c r="F110">
        <f>$B$110-$F$105</f>
        <v>0</v>
      </c>
      <c r="G110">
        <f>$B$110-$G$105</f>
        <v>0</v>
      </c>
      <c r="H110">
        <f>$B$110-$H$105</f>
        <v>0</v>
      </c>
    </row>
    <row r="111" spans="1:8" x14ac:dyDescent="0.55000000000000004">
      <c r="B111">
        <v>0</v>
      </c>
      <c r="C111">
        <f>$B$111-$C$105</f>
        <v>0</v>
      </c>
      <c r="D111">
        <f>$B$111-$D$105</f>
        <v>0</v>
      </c>
      <c r="E111">
        <f>$B$111-$E$105</f>
        <v>0</v>
      </c>
      <c r="F111">
        <f>$B$111-$F$105</f>
        <v>0</v>
      </c>
      <c r="G111">
        <f>$B$111-$G$105</f>
        <v>0</v>
      </c>
      <c r="H111">
        <f>$B$111-$H$105</f>
        <v>0</v>
      </c>
    </row>
    <row r="113" spans="1:8" x14ac:dyDescent="0.55000000000000004">
      <c r="A113" t="str" cm="1">
        <f t="array" ref="A113:A116">Massnahmen[Titel]</f>
        <v>E-LKW im Nahbereich unter 25km</v>
      </c>
      <c r="C113">
        <f>IF($C$106&gt;=2,1,IF($C$106&gt;=1,0.5,0))</f>
        <v>0</v>
      </c>
      <c r="D113">
        <f>IF($D$106&gt;=2,1,IF($D$106&gt;=1,0.5,0))</f>
        <v>0</v>
      </c>
      <c r="E113">
        <f>IF($E$106&gt;=2,1,IF($E$106&gt;=1,0.5,0))</f>
        <v>0</v>
      </c>
      <c r="F113">
        <f>IF($F$106&gt;=2,1,IF($F$106&gt;=1,0.5,0))</f>
        <v>0</v>
      </c>
      <c r="G113">
        <f>IF($G$106&gt;=2,1,IF($G$106&gt;=1,0.5,0))</f>
        <v>0</v>
      </c>
      <c r="H113">
        <f>IF($H$106&gt;=2,1,IF($H$106&gt;=1,0.5,0))</f>
        <v>0</v>
      </c>
    </row>
    <row r="114" spans="1:8" x14ac:dyDescent="0.55000000000000004">
      <c r="A114" t="str">
        <v>E-LKW im Nahbereich über 25km</v>
      </c>
      <c r="C114">
        <f>IF($C$107&gt;=2,1,IF($C$107&gt;=1,0.5,0))</f>
        <v>0</v>
      </c>
      <c r="D114">
        <f>IF($D$107&gt;=2,1,IF($D$107&gt;=1,0.5,0))</f>
        <v>0</v>
      </c>
      <c r="E114">
        <f>IF($E$107&gt;=2,1,IF($E$107&gt;=1,0.5,0))</f>
        <v>0</v>
      </c>
      <c r="F114">
        <f>IF($F$107&gt;=2,1,IF($F$107&gt;=1,0.5,0))</f>
        <v>0</v>
      </c>
      <c r="G114">
        <f>IF($G$107&gt;=2,1,IF($G$107&gt;=1,0.5,0))</f>
        <v>0</v>
      </c>
      <c r="H114">
        <f>IF($H$107&gt;=2,1,IF($H$107&gt;=1,0.5,0))</f>
        <v>0</v>
      </c>
    </row>
    <row r="115" spans="1:8" x14ac:dyDescent="0.55000000000000004">
      <c r="A115" t="str">
        <v>Kombinierter Verkehr von A nach B</v>
      </c>
      <c r="C115">
        <f>IF($C$108&gt;=2,1,IF($C$108&gt;=1,0.5,0))</f>
        <v>0</v>
      </c>
      <c r="D115">
        <f>IF($D$108&gt;=2,1,IF($D$108&gt;=1,0.5,0))</f>
        <v>0</v>
      </c>
      <c r="E115">
        <f>IF($E$108&gt;=2,1,IF($E$108&gt;=1,0.5,0))</f>
        <v>0</v>
      </c>
      <c r="F115">
        <f>IF($F$108&gt;=2,1,IF($F$108&gt;=1,0.5,0))</f>
        <v>0</v>
      </c>
      <c r="G115">
        <f>IF($G$108&gt;=2,1,IF($G$108&gt;=1,0.5,0))</f>
        <v>0</v>
      </c>
      <c r="H115">
        <f>IF($H$108&gt;=2,1,IF($H$108&gt;=1,0.5,0))</f>
        <v>0</v>
      </c>
    </row>
    <row r="116" spans="1:8" x14ac:dyDescent="0.55000000000000004">
      <c r="A116" t="str">
        <v>Transportoptimierter Lieferabruf für Lieferant A und B</v>
      </c>
      <c r="C116">
        <f>IF($C$109&gt;=2,1,IF($C$109&gt;=1,0.5,0))</f>
        <v>0</v>
      </c>
      <c r="D116">
        <f>IF($D$109&gt;=2,1,IF($D$109&gt;=1,0.5,0))</f>
        <v>0</v>
      </c>
      <c r="E116">
        <f>IF($E$109&gt;=2,1,IF($E$109&gt;=1,0.5,0))</f>
        <v>0</v>
      </c>
      <c r="F116">
        <f>IF($F$109&gt;=2,1,IF($F$109&gt;=1,0.5,0))</f>
        <v>0</v>
      </c>
      <c r="G116">
        <f>IF($G$109&gt;=2,1,IF($G$109&gt;=1,0.5,0))</f>
        <v>0</v>
      </c>
      <c r="H116">
        <f>IF($H$109&gt;=2,1,IF($H$109&gt;=1,0.5,0))</f>
        <v>0</v>
      </c>
    </row>
    <row r="117" spans="1:8" x14ac:dyDescent="0.55000000000000004">
      <c r="C117">
        <f>IF($C$110&gt;=2,1,IF($C$110&gt;=1,0.5,0))</f>
        <v>0</v>
      </c>
      <c r="D117">
        <f>IF($D$110&gt;=2,1,IF($D$110&gt;=1,0.5,0))</f>
        <v>0</v>
      </c>
      <c r="E117">
        <f>IF($E$110&gt;=2,1,IF($E$110&gt;=1,0.5,0))</f>
        <v>0</v>
      </c>
      <c r="F117">
        <f>IF($F$110&gt;=2,1,IF($F$110&gt;=1,0.5,0))</f>
        <v>0</v>
      </c>
      <c r="G117">
        <f>IF($G$110&gt;=2,1,IF($G$110&gt;=1,0.5,0))</f>
        <v>0</v>
      </c>
      <c r="H117">
        <f>IF($H$110&gt;=2,1,IF($H$110&gt;=1,0.5,0))</f>
        <v>0</v>
      </c>
    </row>
    <row r="118" spans="1:8" x14ac:dyDescent="0.55000000000000004">
      <c r="C118">
        <f>IF($C$111&gt;=2,1,IF($C$111&gt;=1,0.5,0))</f>
        <v>0</v>
      </c>
      <c r="D118">
        <f>IF($D$111&gt;=2,1,IF($D$111&gt;=1,0.5,0))</f>
        <v>0</v>
      </c>
      <c r="E118">
        <f>IF($E$111&gt;=2,1,IF($E$111&gt;=1,0.5,0))</f>
        <v>0</v>
      </c>
      <c r="F118">
        <f>IF($F$111&gt;=2,1,IF($F$111&gt;=1,0.5,0))</f>
        <v>0</v>
      </c>
      <c r="G118">
        <f>IF($G$111&gt;=2,1,IF($G$111&gt;=1,0.5,0))</f>
        <v>0</v>
      </c>
      <c r="H118">
        <f>IF($H$111&gt;=2,1,IF($H$111&gt;=1,0.5,0))</f>
        <v>0</v>
      </c>
    </row>
    <row r="120" spans="1:8" x14ac:dyDescent="0.55000000000000004">
      <c r="A120" t="s">
        <v>18</v>
      </c>
    </row>
    <row r="121" spans="1:8" x14ac:dyDescent="0.55000000000000004">
      <c r="A121" t="e">
        <f>INDEX(Gewichtung_Smart[Rel. Gewicht], MATCH($A$120, Gewichtung_Smart[Bezeichnung], 0))</f>
        <v>#DIV/0!</v>
      </c>
      <c r="C121" t="str" cm="1">
        <f t="array" ref="C121:F121">TRANSPOSE(Massnahmen[Titel])</f>
        <v>E-LKW im Nahbereich unter 25km</v>
      </c>
      <c r="D121" t="str">
        <v>E-LKW im Nahbereich über 25km</v>
      </c>
      <c r="E121" t="str">
        <v>Kombinierter Verkehr von A nach B</v>
      </c>
      <c r="F121" t="str">
        <v>Transportoptimierter Lieferabruf für Lieferant A und B</v>
      </c>
    </row>
    <row r="122" spans="1:8" x14ac:dyDescent="0.55000000000000004">
      <c r="C122" cm="1">
        <f t="array" ref="C122:H122">TRANSPOSE('3_Evaluierung'!$J$19:$J$24)</f>
        <v>0</v>
      </c>
      <c r="D122">
        <v>0</v>
      </c>
      <c r="E122">
        <v>0</v>
      </c>
      <c r="F122">
        <v>0</v>
      </c>
      <c r="G122">
        <v>0</v>
      </c>
      <c r="H122">
        <v>0</v>
      </c>
    </row>
    <row r="123" spans="1:8" x14ac:dyDescent="0.55000000000000004">
      <c r="A123" t="str" cm="1">
        <f t="array" ref="A123:A126">Massnahmen[Titel]</f>
        <v>E-LKW im Nahbereich unter 25km</v>
      </c>
      <c r="B123" cm="1">
        <f t="array" ref="B123:B128">('3_Evaluierung'!$J$19:$J$24)</f>
        <v>0</v>
      </c>
      <c r="C123">
        <f>-1*($B$123-$C$122)</f>
        <v>0</v>
      </c>
      <c r="D123">
        <f>-1*($B$123-$D$122)</f>
        <v>0</v>
      </c>
      <c r="E123">
        <f>-1*($B$123-$E$122)</f>
        <v>0</v>
      </c>
      <c r="F123">
        <f>-1*($B$123-$F$122)</f>
        <v>0</v>
      </c>
      <c r="G123">
        <f>-1*($B$123-$G$122)</f>
        <v>0</v>
      </c>
      <c r="H123">
        <f>-1*($B$123-$H$122)</f>
        <v>0</v>
      </c>
    </row>
    <row r="124" spans="1:8" x14ac:dyDescent="0.55000000000000004">
      <c r="A124" t="str">
        <v>E-LKW im Nahbereich über 25km</v>
      </c>
      <c r="B124">
        <v>0</v>
      </c>
      <c r="C124">
        <f>-1*($B$124-$C$122)</f>
        <v>0</v>
      </c>
      <c r="D124">
        <f>-1*($B$124-$D$122)</f>
        <v>0</v>
      </c>
      <c r="E124">
        <f>-1*($B$124-$E$122)</f>
        <v>0</v>
      </c>
      <c r="F124">
        <f>-1*($B$124-$F$122)</f>
        <v>0</v>
      </c>
      <c r="G124">
        <f>-1*($B$124-$G$122)</f>
        <v>0</v>
      </c>
      <c r="H124">
        <f>-1*($B$124-$H$122)</f>
        <v>0</v>
      </c>
    </row>
    <row r="125" spans="1:8" x14ac:dyDescent="0.55000000000000004">
      <c r="A125" t="str">
        <v>Kombinierter Verkehr von A nach B</v>
      </c>
      <c r="B125">
        <v>0</v>
      </c>
      <c r="C125">
        <f>-1*($B$125-$C$122)</f>
        <v>0</v>
      </c>
      <c r="D125">
        <f>-1*($B$125-$D$122)</f>
        <v>0</v>
      </c>
      <c r="E125">
        <f>-1*($B$125-$E$122)</f>
        <v>0</v>
      </c>
      <c r="F125">
        <f>-1*($B$125-$F$122)</f>
        <v>0</v>
      </c>
      <c r="G125">
        <f>-1*($B$125-$G$122)</f>
        <v>0</v>
      </c>
      <c r="H125">
        <f>-1*($B$125-$H$122)</f>
        <v>0</v>
      </c>
    </row>
    <row r="126" spans="1:8" x14ac:dyDescent="0.55000000000000004">
      <c r="A126" t="str">
        <v>Transportoptimierter Lieferabruf für Lieferant A und B</v>
      </c>
      <c r="B126">
        <v>0</v>
      </c>
      <c r="C126">
        <f>-1*($B$126-$C$122)</f>
        <v>0</v>
      </c>
      <c r="D126">
        <f>-1*($B$126-$D$122)</f>
        <v>0</v>
      </c>
      <c r="E126">
        <f>-1*($B$126-$E$122)</f>
        <v>0</v>
      </c>
      <c r="F126">
        <f>-1*($B$126-$F$122)</f>
        <v>0</v>
      </c>
      <c r="G126">
        <f>-1*($B$126-$G$122)</f>
        <v>0</v>
      </c>
      <c r="H126">
        <f>-1*($B$126-$H$122)</f>
        <v>0</v>
      </c>
    </row>
    <row r="127" spans="1:8" x14ac:dyDescent="0.55000000000000004">
      <c r="B127">
        <v>0</v>
      </c>
      <c r="C127">
        <f>-1*($B$127-$C$122)</f>
        <v>0</v>
      </c>
      <c r="D127">
        <f>-1*($B$127-$D$122)</f>
        <v>0</v>
      </c>
      <c r="E127">
        <f>-1*($B$127-$E$122)</f>
        <v>0</v>
      </c>
      <c r="F127">
        <f>-1*($B$127-$F$122)</f>
        <v>0</v>
      </c>
      <c r="G127">
        <f>-1*($B$127-$G$122)</f>
        <v>0</v>
      </c>
      <c r="H127">
        <f>-1*($B$127-$H$122)</f>
        <v>0</v>
      </c>
    </row>
    <row r="128" spans="1:8" x14ac:dyDescent="0.55000000000000004">
      <c r="B128">
        <v>0</v>
      </c>
      <c r="C128">
        <f>-1*($B$128-$C$122)</f>
        <v>0</v>
      </c>
      <c r="D128">
        <f>-1*($B$128-$D$122)</f>
        <v>0</v>
      </c>
      <c r="E128">
        <f>-1*($B$128-$E$122)</f>
        <v>0</v>
      </c>
      <c r="F128">
        <f>-1*($B$128-$F$122)</f>
        <v>0</v>
      </c>
      <c r="G128">
        <f>-1*($B$128-$G$122)</f>
        <v>0</v>
      </c>
      <c r="H128">
        <f>-1*($B$128-$H$122)</f>
        <v>0</v>
      </c>
    </row>
    <row r="130" spans="1:8" x14ac:dyDescent="0.55000000000000004">
      <c r="A130" t="str" cm="1">
        <f t="array" ref="A130:A133">Massnahmen[Titel]</f>
        <v>E-LKW im Nahbereich unter 25km</v>
      </c>
      <c r="C130">
        <f>IF($C$123&gt;=2,1,IF($C$123&gt;=1,0.5,0))</f>
        <v>0</v>
      </c>
      <c r="D130">
        <f>IF($D$123&gt;=2,1,IF($D$123&gt;=1,0.5,0))</f>
        <v>0</v>
      </c>
      <c r="E130">
        <f>IF($E$123&gt;=2,1,IF($E$123&gt;=1,0.5,0))</f>
        <v>0</v>
      </c>
      <c r="F130">
        <f>IF($F$123&gt;=2,1,IF($F$123&gt;=1,0.5,0))</f>
        <v>0</v>
      </c>
      <c r="G130">
        <f>IF($G$123&gt;=2,1,IF($G$123&gt;=1,0.5,0))</f>
        <v>0</v>
      </c>
      <c r="H130">
        <f>IF($H$123&gt;=2,1,IF($H$123&gt;=1,0.5,0))</f>
        <v>0</v>
      </c>
    </row>
    <row r="131" spans="1:8" x14ac:dyDescent="0.55000000000000004">
      <c r="A131" t="str">
        <v>E-LKW im Nahbereich über 25km</v>
      </c>
      <c r="C131">
        <f>IF($C$124&gt;=2,1,IF($C$124&gt;=1,0.5,0))</f>
        <v>0</v>
      </c>
      <c r="D131">
        <f>IF($D$124&gt;=2,1,IF($D$124&gt;=1,0.5,0))</f>
        <v>0</v>
      </c>
      <c r="E131">
        <f>IF($E$124&gt;=2,1,IF($E$124&gt;=1,0.5,0))</f>
        <v>0</v>
      </c>
      <c r="F131">
        <f>IF($F$124&gt;=2,1,IF($F$124&gt;=1,0.5,0))</f>
        <v>0</v>
      </c>
      <c r="G131">
        <f>IF($G$124&gt;=2,1,IF($G$124&gt;=1,0.5,0))</f>
        <v>0</v>
      </c>
      <c r="H131">
        <f>IF($H$124&gt;=2,1,IF($H$124&gt;=1,0.5,0))</f>
        <v>0</v>
      </c>
    </row>
    <row r="132" spans="1:8" x14ac:dyDescent="0.55000000000000004">
      <c r="A132" t="str">
        <v>Kombinierter Verkehr von A nach B</v>
      </c>
      <c r="C132">
        <f>IF($C$125&gt;=2,1,IF($C$125&gt;=1,0.5,0))</f>
        <v>0</v>
      </c>
      <c r="D132">
        <f>IF($D$125&gt;=2,1,IF($D$125&gt;=1,0.5,0))</f>
        <v>0</v>
      </c>
      <c r="E132">
        <f>IF($E$125&gt;=2,1,IF($E$125&gt;=1,0.5,0))</f>
        <v>0</v>
      </c>
      <c r="F132">
        <f>IF($F$125&gt;=2,1,IF($F$125&gt;=1,0.5,0))</f>
        <v>0</v>
      </c>
      <c r="G132">
        <f>IF($G$125&gt;=2,1,IF($G$125&gt;=1,0.5,0))</f>
        <v>0</v>
      </c>
      <c r="H132">
        <f>IF($H$125&gt;=2,1,IF($H$125&gt;=1,0.5,0))</f>
        <v>0</v>
      </c>
    </row>
    <row r="133" spans="1:8" x14ac:dyDescent="0.55000000000000004">
      <c r="A133" t="str">
        <v>Transportoptimierter Lieferabruf für Lieferant A und B</v>
      </c>
      <c r="C133">
        <f>IF($C$126&gt;=2,1,IF($C$126&gt;=1,0.5,0))</f>
        <v>0</v>
      </c>
      <c r="D133">
        <f>IF($D$126&gt;=2,1,IF($D$126&gt;=1,0.5,0))</f>
        <v>0</v>
      </c>
      <c r="E133">
        <f>IF($E$126&gt;=2,1,IF($E$126&gt;=1,0.5,0))</f>
        <v>0</v>
      </c>
      <c r="F133">
        <f>IF($F$126&gt;=2,1,IF($F$126&gt;=1,0.5,0))</f>
        <v>0</v>
      </c>
      <c r="G133">
        <f>IF($G$126&gt;=2,1,IF($G$126&gt;=1,0.5,0))</f>
        <v>0</v>
      </c>
      <c r="H133">
        <f>IF($H$126&gt;=2,1,IF($H$126&gt;=1,0.5,0))</f>
        <v>0</v>
      </c>
    </row>
    <row r="134" spans="1:8" x14ac:dyDescent="0.55000000000000004">
      <c r="C134">
        <f>IF($C$127&gt;=2,1,IF($C$127&gt;=1,0.5,0))</f>
        <v>0</v>
      </c>
      <c r="D134">
        <f>IF($D$127&gt;=2,1,IF($D$127&gt;=1,0.5,0))</f>
        <v>0</v>
      </c>
      <c r="E134">
        <f>IF($E$127&gt;=2,1,IF($E$127&gt;=1,0.5,0))</f>
        <v>0</v>
      </c>
      <c r="F134">
        <f>IF($F$127&gt;=2,1,IF($F$127&gt;=1,0.5,0))</f>
        <v>0</v>
      </c>
      <c r="G134">
        <f>IF($G$127&gt;=2,1,IF($G$127&gt;=1,0.5,0))</f>
        <v>0</v>
      </c>
      <c r="H134">
        <f>IF($H$127&gt;=2,1,IF($H$127&gt;=1,0.5,0))</f>
        <v>0</v>
      </c>
    </row>
    <row r="135" spans="1:8" x14ac:dyDescent="0.55000000000000004">
      <c r="C135">
        <f>IF($C$128&gt;=2,1,IF($C$128&gt;=1,0.5,0))</f>
        <v>0</v>
      </c>
      <c r="D135">
        <f>IF($D$128&gt;=2,1,IF($D$128&gt;=1,0.5,0))</f>
        <v>0</v>
      </c>
      <c r="E135">
        <f>IF($E$128&gt;=2,1,IF($E$128&gt;=1,0.5,0))</f>
        <v>0</v>
      </c>
      <c r="F135">
        <f>IF($F$128&gt;=2,1,IF($F$128&gt;=1,0.5,0))</f>
        <v>0</v>
      </c>
      <c r="G135">
        <f>IF($G$128&gt;=2,1,IF($G$128&gt;=1,0.5,0))</f>
        <v>0</v>
      </c>
      <c r="H135">
        <f>IF($H$128&gt;=2,1,IF($H$128&gt;=1,0.5,0))</f>
        <v>0</v>
      </c>
    </row>
    <row r="137" spans="1:8" x14ac:dyDescent="0.55000000000000004">
      <c r="A137" t="s">
        <v>10</v>
      </c>
    </row>
    <row r="138" spans="1:8" x14ac:dyDescent="0.55000000000000004">
      <c r="A138" t="e">
        <f>INDEX(Gewichtung_Smart[Rel. Gewicht], MATCH($A$137, Gewichtung_Smart[Bezeichnung], 0))</f>
        <v>#DIV/0!</v>
      </c>
      <c r="C138" t="str" cm="1">
        <f t="array" ref="C138:F138">TRANSPOSE(Massnahmen[Titel])</f>
        <v>E-LKW im Nahbereich unter 25km</v>
      </c>
      <c r="D138" t="str">
        <v>E-LKW im Nahbereich über 25km</v>
      </c>
      <c r="E138" t="str">
        <v>Kombinierter Verkehr von A nach B</v>
      </c>
      <c r="F138" t="str">
        <v>Transportoptimierter Lieferabruf für Lieferant A und B</v>
      </c>
    </row>
    <row r="139" spans="1:8" x14ac:dyDescent="0.55000000000000004">
      <c r="C139" cm="1">
        <f t="array" ref="C139:H139">TRANSPOSE('3_Evaluierung'!$K$19:$K$24)</f>
        <v>0</v>
      </c>
      <c r="D139">
        <v>0</v>
      </c>
      <c r="E139">
        <v>0</v>
      </c>
      <c r="F139">
        <v>0</v>
      </c>
      <c r="G139">
        <v>0</v>
      </c>
      <c r="H139">
        <v>0</v>
      </c>
    </row>
    <row r="140" spans="1:8" x14ac:dyDescent="0.55000000000000004">
      <c r="A140" t="str" cm="1">
        <f t="array" ref="A140:A143">Massnahmen[Titel]</f>
        <v>E-LKW im Nahbereich unter 25km</v>
      </c>
      <c r="B140" cm="1">
        <f t="array" ref="B140:B145">('3_Evaluierung'!$K$19:$K$24)</f>
        <v>0</v>
      </c>
      <c r="C140">
        <f>$B$140-$C$139</f>
        <v>0</v>
      </c>
      <c r="D140">
        <f>$B$140-$D$139</f>
        <v>0</v>
      </c>
      <c r="E140">
        <f>$B$140-$E$139</f>
        <v>0</v>
      </c>
      <c r="F140">
        <f>$B$140-$F$139</f>
        <v>0</v>
      </c>
      <c r="G140">
        <f>$B$140-$G$139</f>
        <v>0</v>
      </c>
      <c r="H140">
        <f>$B$140-$H$139</f>
        <v>0</v>
      </c>
    </row>
    <row r="141" spans="1:8" x14ac:dyDescent="0.55000000000000004">
      <c r="A141" t="str">
        <v>E-LKW im Nahbereich über 25km</v>
      </c>
      <c r="B141">
        <v>0</v>
      </c>
      <c r="C141">
        <f>$B$141-$C$139</f>
        <v>0</v>
      </c>
      <c r="D141">
        <f>$B$141-$D$139</f>
        <v>0</v>
      </c>
      <c r="E141">
        <f>$B$141-$E$139</f>
        <v>0</v>
      </c>
      <c r="F141">
        <f>$B$141-$F$139</f>
        <v>0</v>
      </c>
      <c r="G141">
        <f>$B$141-$G$139</f>
        <v>0</v>
      </c>
      <c r="H141">
        <f>$B$141-$H$139</f>
        <v>0</v>
      </c>
    </row>
    <row r="142" spans="1:8" x14ac:dyDescent="0.55000000000000004">
      <c r="A142" t="str">
        <v>Kombinierter Verkehr von A nach B</v>
      </c>
      <c r="B142">
        <v>0</v>
      </c>
      <c r="C142">
        <f>$B$142-$C$139</f>
        <v>0</v>
      </c>
      <c r="D142">
        <f>$B$142-$D$139</f>
        <v>0</v>
      </c>
      <c r="E142">
        <f>$B$142-$E$139</f>
        <v>0</v>
      </c>
      <c r="F142">
        <f>$B$142-$F$139</f>
        <v>0</v>
      </c>
      <c r="G142">
        <f>$B$142-$G$139</f>
        <v>0</v>
      </c>
      <c r="H142">
        <f>$B$142-$H$139</f>
        <v>0</v>
      </c>
    </row>
    <row r="143" spans="1:8" x14ac:dyDescent="0.55000000000000004">
      <c r="A143" t="str">
        <v>Transportoptimierter Lieferabruf für Lieferant A und B</v>
      </c>
      <c r="B143">
        <v>0</v>
      </c>
      <c r="C143">
        <f>$B$143-$C$139</f>
        <v>0</v>
      </c>
      <c r="D143">
        <f>$B$143-$D$139</f>
        <v>0</v>
      </c>
      <c r="E143">
        <f>$B$143-$E$139</f>
        <v>0</v>
      </c>
      <c r="F143">
        <f>$B$143-$F$139</f>
        <v>0</v>
      </c>
      <c r="G143">
        <f>$B$143-$G$139</f>
        <v>0</v>
      </c>
      <c r="H143">
        <f>$B$143-$H$139</f>
        <v>0</v>
      </c>
    </row>
    <row r="144" spans="1:8" x14ac:dyDescent="0.55000000000000004">
      <c r="B144">
        <v>0</v>
      </c>
      <c r="C144">
        <f>$B$144-$C$139</f>
        <v>0</v>
      </c>
      <c r="D144">
        <f>$B$144-$D$139</f>
        <v>0</v>
      </c>
      <c r="E144">
        <f>$B$144-$E$139</f>
        <v>0</v>
      </c>
      <c r="F144">
        <f>$B$144-$F$139</f>
        <v>0</v>
      </c>
      <c r="G144">
        <f>$B$144-$G$139</f>
        <v>0</v>
      </c>
      <c r="H144">
        <f>$B$144-$H$139</f>
        <v>0</v>
      </c>
    </row>
    <row r="145" spans="1:8" x14ac:dyDescent="0.55000000000000004">
      <c r="B145">
        <v>0</v>
      </c>
      <c r="C145">
        <f>$B$145-$C$139</f>
        <v>0</v>
      </c>
      <c r="D145">
        <f>$B$145-$D$139</f>
        <v>0</v>
      </c>
      <c r="E145">
        <f>$B$145-$E$139</f>
        <v>0</v>
      </c>
      <c r="F145">
        <f>$B$145-$F$139</f>
        <v>0</v>
      </c>
      <c r="G145">
        <f>$B$145-$G$139</f>
        <v>0</v>
      </c>
      <c r="H145">
        <f>$B$145-$H$139</f>
        <v>0</v>
      </c>
    </row>
    <row r="147" spans="1:8" x14ac:dyDescent="0.55000000000000004">
      <c r="A147" t="str" cm="1">
        <f t="array" ref="A147:A150">Massnahmen[Titel]</f>
        <v>E-LKW im Nahbereich unter 25km</v>
      </c>
      <c r="C147">
        <f>IF($C$140&gt;=2,1,IF($C$140&gt;=1,0.5,0))</f>
        <v>0</v>
      </c>
      <c r="D147">
        <f>IF($D$140&gt;=2,1,IF($D$140&gt;=1,0.5,0))</f>
        <v>0</v>
      </c>
      <c r="E147">
        <f>IF($E$140&gt;=2,1,IF($E$140&gt;=1,0.5,0))</f>
        <v>0</v>
      </c>
      <c r="F147">
        <f>IF($F$140&gt;=2,1,IF($F$140&gt;=1,0.5,0))</f>
        <v>0</v>
      </c>
      <c r="G147">
        <f>IF($G$140&gt;=2,1,IF($G$140&gt;=1,0.5,0))</f>
        <v>0</v>
      </c>
      <c r="H147">
        <f>IF($H$140&gt;=2,1,IF($H$140&gt;=1,0.5,0))</f>
        <v>0</v>
      </c>
    </row>
    <row r="148" spans="1:8" x14ac:dyDescent="0.55000000000000004">
      <c r="A148" t="str">
        <v>E-LKW im Nahbereich über 25km</v>
      </c>
      <c r="C148">
        <f>IF($C$141&gt;=2,1,IF($C$141&gt;=1,0.5,0))</f>
        <v>0</v>
      </c>
      <c r="D148">
        <f>IF($D$141&gt;=2,1,IF($D$141&gt;=1,0.5,0))</f>
        <v>0</v>
      </c>
      <c r="E148">
        <f>IF($E$141&gt;=2,1,IF($E$141&gt;=1,0.5,0))</f>
        <v>0</v>
      </c>
      <c r="F148">
        <f>IF($F$141&gt;=2,1,IF($F$141&gt;=1,0.5,0))</f>
        <v>0</v>
      </c>
      <c r="G148">
        <f>IF($G$141&gt;=2,1,IF($G$141&gt;=1,0.5,0))</f>
        <v>0</v>
      </c>
      <c r="H148">
        <f>IF($H$141&gt;=2,1,IF($H$141&gt;=1,0.5,0))</f>
        <v>0</v>
      </c>
    </row>
    <row r="149" spans="1:8" x14ac:dyDescent="0.55000000000000004">
      <c r="A149" t="str">
        <v>Kombinierter Verkehr von A nach B</v>
      </c>
      <c r="C149">
        <f>IF($C$142&gt;=2,1,IF($C$142&gt;=1,0.5,0))</f>
        <v>0</v>
      </c>
      <c r="D149">
        <f>IF($D$142&gt;=2,1,IF($D$142&gt;=1,0.5,0))</f>
        <v>0</v>
      </c>
      <c r="E149">
        <f>IF($E$142&gt;=2,1,IF($E$142&gt;=1,0.5,0))</f>
        <v>0</v>
      </c>
      <c r="F149">
        <f>IF($F$142&gt;=2,1,IF($F$142&gt;=1,0.5,0))</f>
        <v>0</v>
      </c>
      <c r="G149">
        <f>IF($G$142&gt;=2,1,IF($G$142&gt;=1,0.5,0))</f>
        <v>0</v>
      </c>
      <c r="H149">
        <f>IF($H$142&gt;=2,1,IF($H$142&gt;=1,0.5,0))</f>
        <v>0</v>
      </c>
    </row>
    <row r="150" spans="1:8" x14ac:dyDescent="0.55000000000000004">
      <c r="A150" t="str">
        <v>Transportoptimierter Lieferabruf für Lieferant A und B</v>
      </c>
      <c r="C150">
        <f>IF($C$143&gt;=2,1,IF($C$143&gt;=1,0.5,0))</f>
        <v>0</v>
      </c>
      <c r="D150">
        <f>IF($D$143&gt;=2,1,IF($D$143&gt;=1,0.5,0))</f>
        <v>0</v>
      </c>
      <c r="E150">
        <f>IF($E$143&gt;=2,1,IF($E$143&gt;=1,0.5,0))</f>
        <v>0</v>
      </c>
      <c r="F150">
        <f>IF($F$143&gt;=2,1,IF($F$143&gt;=1,0.5,0))</f>
        <v>0</v>
      </c>
      <c r="G150">
        <f>IF($G$143&gt;=2,1,IF($G$143&gt;=1,0.5,0))</f>
        <v>0</v>
      </c>
      <c r="H150">
        <f>IF($H$143&gt;=2,1,IF($H$143&gt;=1,0.5,0))</f>
        <v>0</v>
      </c>
    </row>
    <row r="151" spans="1:8" x14ac:dyDescent="0.55000000000000004">
      <c r="C151">
        <f>IF($C$144&gt;=2,1,IF($C$144&gt;=1,0.5,0))</f>
        <v>0</v>
      </c>
      <c r="D151">
        <f>IF($D$144&gt;=2,1,IF($D$144&gt;=1,0.5,0))</f>
        <v>0</v>
      </c>
      <c r="E151">
        <f>IF($E$144&gt;=2,1,IF($E$144&gt;=1,0.5,0))</f>
        <v>0</v>
      </c>
      <c r="F151">
        <f>IF($F$144&gt;=2,1,IF($F$144&gt;=1,0.5,0))</f>
        <v>0</v>
      </c>
      <c r="G151">
        <f>IF($G$144&gt;=2,1,IF($G$144&gt;=1,0.5,0))</f>
        <v>0</v>
      </c>
      <c r="H151">
        <f>IF($H$144&gt;=2,1,IF($H$144&gt;=1,0.5,0))</f>
        <v>0</v>
      </c>
    </row>
    <row r="152" spans="1:8" x14ac:dyDescent="0.55000000000000004">
      <c r="C152">
        <f>IF($C$145&gt;=2,1,IF($C$145&gt;=1,0.5,0))</f>
        <v>0</v>
      </c>
      <c r="D152">
        <f>IF($D$145&gt;=2,1,IF($D$145&gt;=1,0.5,0))</f>
        <v>0</v>
      </c>
      <c r="E152">
        <f>IF($E$145&gt;=2,1,IF($E$145&gt;=1,0.5,0))</f>
        <v>0</v>
      </c>
      <c r="F152">
        <f>IF($F$145&gt;=2,1,IF($F$145&gt;=1,0.5,0))</f>
        <v>0</v>
      </c>
      <c r="G152">
        <f>IF($G$145&gt;=2,1,IF($G$145&gt;=1,0.5,0))</f>
        <v>0</v>
      </c>
      <c r="H152">
        <f>IF($H$145&gt;=2,1,IF($H$145&gt;=1,0.5,0))</f>
        <v>0</v>
      </c>
    </row>
    <row r="154" spans="1:8" x14ac:dyDescent="0.55000000000000004">
      <c r="A154" t="s">
        <v>11</v>
      </c>
    </row>
    <row r="155" spans="1:8" x14ac:dyDescent="0.55000000000000004">
      <c r="A155" t="e">
        <f>INDEX(Gewichtung_Smart[Rel. Gewicht], MATCH($A$154, Gewichtung_Smart[Bezeichnung], 0))</f>
        <v>#DIV/0!</v>
      </c>
      <c r="C155" t="str" cm="1">
        <f t="array" ref="C155:F155">TRANSPOSE(Massnahmen[Titel])</f>
        <v>E-LKW im Nahbereich unter 25km</v>
      </c>
      <c r="D155" t="str">
        <v>E-LKW im Nahbereich über 25km</v>
      </c>
      <c r="E155" t="str">
        <v>Kombinierter Verkehr von A nach B</v>
      </c>
      <c r="F155" t="str">
        <v>Transportoptimierter Lieferabruf für Lieferant A und B</v>
      </c>
    </row>
    <row r="156" spans="1:8" x14ac:dyDescent="0.55000000000000004">
      <c r="C156" cm="1">
        <f t="array" ref="C156:H156">TRANSPOSE('3_Evaluierung'!$L$19:$L$24)</f>
        <v>0</v>
      </c>
      <c r="D156">
        <v>0</v>
      </c>
      <c r="E156">
        <v>0</v>
      </c>
      <c r="F156">
        <v>0</v>
      </c>
      <c r="G156">
        <v>0</v>
      </c>
      <c r="H156">
        <v>0</v>
      </c>
    </row>
    <row r="157" spans="1:8" x14ac:dyDescent="0.55000000000000004">
      <c r="A157" t="str" cm="1">
        <f t="array" ref="A157:A160">Massnahmen[Titel]</f>
        <v>E-LKW im Nahbereich unter 25km</v>
      </c>
      <c r="B157" cm="1">
        <f t="array" ref="B157:B162">('3_Evaluierung'!$L$19:$L$24)</f>
        <v>0</v>
      </c>
      <c r="C157">
        <f>$B$157-$C$156</f>
        <v>0</v>
      </c>
      <c r="D157">
        <f>$B$157-$D$156</f>
        <v>0</v>
      </c>
      <c r="E157">
        <f>$B$157-$E$156</f>
        <v>0</v>
      </c>
      <c r="F157">
        <f>$B$157-$F$156</f>
        <v>0</v>
      </c>
      <c r="G157">
        <f>$B$157-$G$156</f>
        <v>0</v>
      </c>
      <c r="H157">
        <f>$B$157-$H$156</f>
        <v>0</v>
      </c>
    </row>
    <row r="158" spans="1:8" x14ac:dyDescent="0.55000000000000004">
      <c r="A158" t="str">
        <v>E-LKW im Nahbereich über 25km</v>
      </c>
      <c r="B158">
        <v>0</v>
      </c>
      <c r="C158">
        <f>$B$158-$C$156</f>
        <v>0</v>
      </c>
      <c r="D158">
        <f>$B$158-$D$156</f>
        <v>0</v>
      </c>
      <c r="E158">
        <f>$B$158-$E$156</f>
        <v>0</v>
      </c>
      <c r="F158">
        <f>$B$158-$F$156</f>
        <v>0</v>
      </c>
      <c r="G158">
        <f>$B$158-$G$156</f>
        <v>0</v>
      </c>
      <c r="H158">
        <f>$B$158-$H$156</f>
        <v>0</v>
      </c>
    </row>
    <row r="159" spans="1:8" x14ac:dyDescent="0.55000000000000004">
      <c r="A159" t="str">
        <v>Kombinierter Verkehr von A nach B</v>
      </c>
      <c r="B159">
        <v>0</v>
      </c>
      <c r="C159">
        <f>$B$159-$C$156</f>
        <v>0</v>
      </c>
      <c r="D159">
        <f>$B$159-$D$156</f>
        <v>0</v>
      </c>
      <c r="E159">
        <f>$B$159-$E$156</f>
        <v>0</v>
      </c>
      <c r="F159">
        <f>$B$159-$F$156</f>
        <v>0</v>
      </c>
      <c r="G159">
        <f>$B$159-$G$156</f>
        <v>0</v>
      </c>
      <c r="H159">
        <f>$B$159-$H$156</f>
        <v>0</v>
      </c>
    </row>
    <row r="160" spans="1:8" x14ac:dyDescent="0.55000000000000004">
      <c r="A160" t="str">
        <v>Transportoptimierter Lieferabruf für Lieferant A und B</v>
      </c>
      <c r="B160">
        <v>0</v>
      </c>
      <c r="C160">
        <f>$B$160-$C$156</f>
        <v>0</v>
      </c>
      <c r="D160">
        <f>$B$160-$D$156</f>
        <v>0</v>
      </c>
      <c r="E160">
        <f>$B$160-$E$156</f>
        <v>0</v>
      </c>
      <c r="F160">
        <f>$B$160-$F$156</f>
        <v>0</v>
      </c>
      <c r="G160">
        <f>$B$160-$G$156</f>
        <v>0</v>
      </c>
      <c r="H160">
        <f>$B$160-$H$156</f>
        <v>0</v>
      </c>
    </row>
    <row r="161" spans="1:8" x14ac:dyDescent="0.55000000000000004">
      <c r="B161">
        <v>0</v>
      </c>
      <c r="C161">
        <f>$B$161-$C$156</f>
        <v>0</v>
      </c>
      <c r="D161">
        <f>$B$161-$D$156</f>
        <v>0</v>
      </c>
      <c r="E161">
        <f>$B$161-$E$156</f>
        <v>0</v>
      </c>
      <c r="F161">
        <f>$B$161-$F$156</f>
        <v>0</v>
      </c>
      <c r="G161">
        <f>$B$161-$G$156</f>
        <v>0</v>
      </c>
      <c r="H161">
        <f>$B$161-$H$156</f>
        <v>0</v>
      </c>
    </row>
    <row r="162" spans="1:8" x14ac:dyDescent="0.55000000000000004">
      <c r="B162">
        <v>0</v>
      </c>
      <c r="C162">
        <f>$B$162-$C$156</f>
        <v>0</v>
      </c>
      <c r="D162">
        <f>$B$162-$D$156</f>
        <v>0</v>
      </c>
      <c r="E162">
        <f>$B$162-$E$156</f>
        <v>0</v>
      </c>
      <c r="F162">
        <f>$B$162-$F$156</f>
        <v>0</v>
      </c>
      <c r="G162">
        <f>$B$162-$G$156</f>
        <v>0</v>
      </c>
      <c r="H162">
        <f>$B$162-$H$156</f>
        <v>0</v>
      </c>
    </row>
    <row r="164" spans="1:8" x14ac:dyDescent="0.55000000000000004">
      <c r="A164" t="str" cm="1">
        <f t="array" ref="A164:A167">Massnahmen[Titel]</f>
        <v>E-LKW im Nahbereich unter 25km</v>
      </c>
      <c r="C164">
        <f>IF($C$157&gt;=2,1,IF($C$157&gt;=1,0.5,0))</f>
        <v>0</v>
      </c>
      <c r="D164">
        <f>IF($D$157&gt;=2,1,IF($D$157&gt;=1,0.5,0))</f>
        <v>0</v>
      </c>
      <c r="E164">
        <f>IF($E$157&gt;=2,1,IF($E$157&gt;=1,0.5,0))</f>
        <v>0</v>
      </c>
      <c r="F164">
        <f>IF($F$157&gt;=2,1,IF($F$157&gt;=1,0.5,0))</f>
        <v>0</v>
      </c>
      <c r="G164">
        <f>IF($G$157&gt;=2,1,IF($G$157&gt;=1,0.5,0))</f>
        <v>0</v>
      </c>
      <c r="H164">
        <f>IF($H$157&gt;=2,1,IF($H$157&gt;=1,0.5,0))</f>
        <v>0</v>
      </c>
    </row>
    <row r="165" spans="1:8" x14ac:dyDescent="0.55000000000000004">
      <c r="A165" t="str">
        <v>E-LKW im Nahbereich über 25km</v>
      </c>
      <c r="C165">
        <f>IF($C$158&gt;=2,1,IF($C$158&gt;=1,0.5,0))</f>
        <v>0</v>
      </c>
      <c r="D165">
        <f>IF($D$158&gt;=2,1,IF($D$158&gt;=1,0.5,0))</f>
        <v>0</v>
      </c>
      <c r="E165">
        <f>IF($E$158&gt;=2,1,IF($E$158&gt;=1,0.5,0))</f>
        <v>0</v>
      </c>
      <c r="F165">
        <f>IF($F$158&gt;=2,1,IF($F$158&gt;=1,0.5,0))</f>
        <v>0</v>
      </c>
      <c r="G165">
        <f>IF($G$158&gt;=2,1,IF($G$158&gt;=1,0.5,0))</f>
        <v>0</v>
      </c>
      <c r="H165">
        <f>IF($H$158&gt;=2,1,IF($H$158&gt;=1,0.5,0))</f>
        <v>0</v>
      </c>
    </row>
    <row r="166" spans="1:8" x14ac:dyDescent="0.55000000000000004">
      <c r="A166" t="str">
        <v>Kombinierter Verkehr von A nach B</v>
      </c>
      <c r="C166">
        <f>IF($C$159&gt;=2,1,IF($C$159&gt;=1,0.5,0))</f>
        <v>0</v>
      </c>
      <c r="D166">
        <f>IF($D$159&gt;=2,1,IF($D$159&gt;=1,0.5,0))</f>
        <v>0</v>
      </c>
      <c r="E166">
        <f>IF($E$159&gt;=2,1,IF($E$159&gt;=1,0.5,0))</f>
        <v>0</v>
      </c>
      <c r="F166">
        <f>IF($F$159&gt;=2,1,IF($F$159&gt;=1,0.5,0))</f>
        <v>0</v>
      </c>
      <c r="G166">
        <f>IF($G$159&gt;=2,1,IF($G$159&gt;=1,0.5,0))</f>
        <v>0</v>
      </c>
      <c r="H166">
        <f>IF($H$159&gt;=2,1,IF($H$159&gt;=1,0.5,0))</f>
        <v>0</v>
      </c>
    </row>
    <row r="167" spans="1:8" x14ac:dyDescent="0.55000000000000004">
      <c r="A167" t="str">
        <v>Transportoptimierter Lieferabruf für Lieferant A und B</v>
      </c>
      <c r="C167">
        <f>IF($C$160&gt;=2,1,IF($C$160&gt;=1,0.5,0))</f>
        <v>0</v>
      </c>
      <c r="D167">
        <f>IF($D$160&gt;=2,1,IF($D$160&gt;=1,0.5,0))</f>
        <v>0</v>
      </c>
      <c r="E167">
        <f>IF($E$160&gt;=2,1,IF($E$160&gt;=1,0.5,0))</f>
        <v>0</v>
      </c>
      <c r="F167">
        <f>IF($F$160&gt;=2,1,IF($F$160&gt;=1,0.5,0))</f>
        <v>0</v>
      </c>
      <c r="G167">
        <f>IF($G$160&gt;=2,1,IF($G$160&gt;=1,0.5,0))</f>
        <v>0</v>
      </c>
      <c r="H167">
        <f>IF($H$160&gt;=2,1,IF($H$160&gt;=1,0.5,0))</f>
        <v>0</v>
      </c>
    </row>
    <row r="168" spans="1:8" x14ac:dyDescent="0.55000000000000004">
      <c r="C168">
        <f>IF($C$161&gt;=2,1,IF($C$161&gt;=1,0.5,0))</f>
        <v>0</v>
      </c>
      <c r="D168">
        <f>IF($D$161&gt;=2,1,IF($D$161&gt;=1,0.5,0))</f>
        <v>0</v>
      </c>
      <c r="E168">
        <f>IF($E$161&gt;=2,1,IF($E$161&gt;=1,0.5,0))</f>
        <v>0</v>
      </c>
      <c r="F168">
        <f>IF($F$161&gt;=2,1,IF($F$161&gt;=1,0.5,0))</f>
        <v>0</v>
      </c>
      <c r="G168">
        <f>IF($G$161&gt;=2,1,IF($G$161&gt;=1,0.5,0))</f>
        <v>0</v>
      </c>
      <c r="H168">
        <f>IF($H$161&gt;=2,1,IF($H$161&gt;=1,0.5,0))</f>
        <v>0</v>
      </c>
    </row>
    <row r="169" spans="1:8" x14ac:dyDescent="0.55000000000000004">
      <c r="C169">
        <f>IF($C$162&gt;=2,1,IF($C$162&gt;=1,0.5,0))</f>
        <v>0</v>
      </c>
      <c r="D169">
        <f>IF($D$162&gt;=2,1,IF($D$162&gt;=1,0.5,0))</f>
        <v>0</v>
      </c>
      <c r="E169">
        <f>IF($E$162&gt;=2,1,IF($E$162&gt;=1,0.5,0))</f>
        <v>0</v>
      </c>
      <c r="F169">
        <f>IF($F$162&gt;=2,1,IF($F$162&gt;=1,0.5,0))</f>
        <v>0</v>
      </c>
      <c r="G169">
        <f>IF($G$162&gt;=2,1,IF($G$162&gt;=1,0.5,0))</f>
        <v>0</v>
      </c>
      <c r="H169">
        <f>IF($H$162&gt;=2,1,IF($H$162&gt;=1,0.5,0))</f>
        <v>0</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35520-4C5C-4285-9D5C-6F287369F48E}">
  <sheetPr codeName="Tabelle5"/>
  <dimension ref="A1:D11"/>
  <sheetViews>
    <sheetView workbookViewId="0">
      <selection activeCell="D15" sqref="D15"/>
    </sheetView>
  </sheetViews>
  <sheetFormatPr baseColWidth="10" defaultRowHeight="14.4" x14ac:dyDescent="0.55000000000000004"/>
  <sheetData>
    <row r="1" spans="1:4" ht="18.3" x14ac:dyDescent="0.7">
      <c r="A1" s="2" t="s">
        <v>44</v>
      </c>
    </row>
    <row r="3" spans="1:4" x14ac:dyDescent="0.55000000000000004">
      <c r="A3" s="1" t="s">
        <v>45</v>
      </c>
      <c r="D3" s="1" t="s">
        <v>85</v>
      </c>
    </row>
    <row r="4" spans="1:4" x14ac:dyDescent="0.55000000000000004">
      <c r="A4" t="s">
        <v>46</v>
      </c>
    </row>
    <row r="5" spans="1:4" ht="15.6" x14ac:dyDescent="0.6">
      <c r="A5" t="s">
        <v>47</v>
      </c>
      <c r="D5" s="3" t="s">
        <v>70</v>
      </c>
    </row>
    <row r="6" spans="1:4" ht="15.6" x14ac:dyDescent="0.6">
      <c r="A6" t="s">
        <v>48</v>
      </c>
      <c r="D6" s="3" t="s">
        <v>71</v>
      </c>
    </row>
    <row r="7" spans="1:4" ht="15.6" x14ac:dyDescent="0.6">
      <c r="D7" s="3" t="s">
        <v>72</v>
      </c>
    </row>
    <row r="8" spans="1:4" ht="15.6" x14ac:dyDescent="0.6">
      <c r="D8" s="3" t="s">
        <v>73</v>
      </c>
    </row>
    <row r="9" spans="1:4" ht="15.6" x14ac:dyDescent="0.6">
      <c r="D9" s="3" t="s">
        <v>74</v>
      </c>
    </row>
    <row r="11" spans="1:4" ht="15.6" x14ac:dyDescent="0.6">
      <c r="D11" s="3" t="s">
        <v>69</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5CA0EDE5-923D-4D1E-99E1-B8C47EBE1C60}">
  <ds:schemaRefs/>
</ds:datastoreItem>
</file>

<file path=customXml/itemProps2.xml><?xml version="1.0" encoding="utf-8"?>
<ds:datastoreItem xmlns:ds="http://schemas.openxmlformats.org/officeDocument/2006/customXml" ds:itemID="{6933B6C5-0255-4C14-AFA8-7D5382B181AC}">
  <ds:schemaRefs/>
</ds:datastoreItem>
</file>

<file path=customXml/itemProps3.xml><?xml version="1.0" encoding="utf-8"?>
<ds:datastoreItem xmlns:ds="http://schemas.openxmlformats.org/officeDocument/2006/customXml" ds:itemID="{22D0B5B6-A255-47FF-A037-D6D134B7B17E}">
  <ds:schemaRefs/>
</ds:datastoreItem>
</file>

<file path=customXml/itemProps4.xml><?xml version="1.0" encoding="utf-8"?>
<ds:datastoreItem xmlns:ds="http://schemas.openxmlformats.org/officeDocument/2006/customXml" ds:itemID="{2A7211FC-ED66-4EEA-83DB-ADC0CC93C966}">
  <ds:schemaRefs/>
</ds:datastoreItem>
</file>

<file path=customXml/itemProps5.xml><?xml version="1.0" encoding="utf-8"?>
<ds:datastoreItem xmlns:ds="http://schemas.openxmlformats.org/officeDocument/2006/customXml" ds:itemID="{63E92FB1-F23F-47D6-A5EA-14F4228FE09D}">
  <ds:schemaRefs/>
</ds:datastoreItem>
</file>

<file path=customXml/itemProps6.xml><?xml version="1.0" encoding="utf-8"?>
<ds:datastoreItem xmlns:ds="http://schemas.openxmlformats.org/officeDocument/2006/customXml" ds:itemID="{55EE5EB7-0D1E-4E05-8A5A-E289F68CB811}">
  <ds:schemaRefs/>
</ds:datastoreItem>
</file>

<file path=customXml/itemProps7.xml><?xml version="1.0" encoding="utf-8"?>
<ds:datastoreItem xmlns:ds="http://schemas.openxmlformats.org/officeDocument/2006/customXml" ds:itemID="{393F8BD9-2D6E-4DE8-9052-EADD191FAFC5}">
  <ds:schemaRefs/>
</ds:datastoreItem>
</file>

<file path=customXml/itemProps8.xml><?xml version="1.0" encoding="utf-8"?>
<ds:datastoreItem xmlns:ds="http://schemas.openxmlformats.org/officeDocument/2006/customXml" ds:itemID="{30528654-9B70-4059-BDE5-B2BF02684A58}">
  <ds:schemaRefs/>
</ds:datastoreItem>
</file>

<file path=customXml/itemProps9.xml><?xml version="1.0" encoding="utf-8"?>
<ds:datastoreItem xmlns:ds="http://schemas.openxmlformats.org/officeDocument/2006/customXml" ds:itemID="{607A4AEC-A699-4EB3-BB84-BE135B61DBE0}">
  <ds:schemaRefs/>
</ds:datastoreItem>
</file>

<file path=customXml/itemProps10.xml><?xml version="1.0" encoding="utf-8"?>
<ds:datastoreItem xmlns:ds="http://schemas.openxmlformats.org/officeDocument/2006/customXml" ds:itemID="{199EF2DC-2975-401E-A33D-8954F897D2F2}">
  <ds:schemaRefs>
    <ds:schemaRef ds:uri="http://schemas.microsoft.com/DataMashup"/>
  </ds:schemaRefs>
</ds:datastoreItem>
</file>

<file path=customXml/itemProps11.xml><?xml version="1.0" encoding="utf-8"?>
<ds:datastoreItem xmlns:ds="http://schemas.openxmlformats.org/officeDocument/2006/customXml" ds:itemID="{DDFE785C-C090-4D80-8291-A63306642D18}">
  <ds:schemaRefs/>
</ds:datastoreItem>
</file>

<file path=customXml/itemProps12.xml><?xml version="1.0" encoding="utf-8"?>
<ds:datastoreItem xmlns:ds="http://schemas.openxmlformats.org/officeDocument/2006/customXml" ds:itemID="{5F387812-7FC2-40DC-A684-6B6D7605B169}">
  <ds:schemaRefs/>
</ds:datastoreItem>
</file>

<file path=customXml/itemProps13.xml><?xml version="1.0" encoding="utf-8"?>
<ds:datastoreItem xmlns:ds="http://schemas.openxmlformats.org/officeDocument/2006/customXml" ds:itemID="{42032D1F-75AE-4129-997A-9F87EABD1735}">
  <ds:schemaRefs/>
</ds:datastoreItem>
</file>

<file path=customXml/itemProps14.xml><?xml version="1.0" encoding="utf-8"?>
<ds:datastoreItem xmlns:ds="http://schemas.openxmlformats.org/officeDocument/2006/customXml" ds:itemID="{90D950A7-D466-4DA3-9DAA-1CECCEF0007C}">
  <ds:schemaRefs/>
</ds:datastoreItem>
</file>

<file path=customXml/itemProps15.xml><?xml version="1.0" encoding="utf-8"?>
<ds:datastoreItem xmlns:ds="http://schemas.openxmlformats.org/officeDocument/2006/customXml" ds:itemID="{9A1F0F7F-47AE-4F08-AD36-728D9C101E18}">
  <ds:schemaRefs/>
</ds:datastoreItem>
</file>

<file path=customXml/itemProps16.xml><?xml version="1.0" encoding="utf-8"?>
<ds:datastoreItem xmlns:ds="http://schemas.openxmlformats.org/officeDocument/2006/customXml" ds:itemID="{3F1B02F1-5025-476F-B9D9-6CE8EDD35DD6}">
  <ds:schemaRefs/>
</ds:datastoreItem>
</file>

<file path=customXml/itemProps17.xml><?xml version="1.0" encoding="utf-8"?>
<ds:datastoreItem xmlns:ds="http://schemas.openxmlformats.org/officeDocument/2006/customXml" ds:itemID="{EA4637E0-C42A-49D5-9F2E-65543EB18E73}">
  <ds:schemaRefs/>
</ds:datastoreItem>
</file>

<file path=customXml/itemProps18.xml><?xml version="1.0" encoding="utf-8"?>
<ds:datastoreItem xmlns:ds="http://schemas.openxmlformats.org/officeDocument/2006/customXml" ds:itemID="{85893A4F-0A00-4E9F-9BBE-BF8896CD6AF5}">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0_Uebersicht</vt:lpstr>
      <vt:lpstr>1_Gewichtung_SMART</vt:lpstr>
      <vt:lpstr>2_Massnahmen</vt:lpstr>
      <vt:lpstr>3_Evaluierung</vt:lpstr>
      <vt:lpstr>99_Preference Index</vt:lpstr>
      <vt:lpstr>99_Metadaten_Konfig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Miklautsch</dc:creator>
  <cp:lastModifiedBy>Philipp Miklautsch</cp:lastModifiedBy>
  <dcterms:created xsi:type="dcterms:W3CDTF">2015-06-05T18:19:34Z</dcterms:created>
  <dcterms:modified xsi:type="dcterms:W3CDTF">2023-07-05T07:00:25Z</dcterms:modified>
</cp:coreProperties>
</file>